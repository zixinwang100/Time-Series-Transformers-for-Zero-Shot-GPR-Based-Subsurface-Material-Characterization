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esearch\Radar Signal Domain Adaptation\Field_Test\"/>
    </mc:Choice>
  </mc:AlternateContent>
  <xr:revisionPtr revIDLastSave="0" documentId="13_ncr:1_{72643830-AE2E-4087-AD20-1B7AD7982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ery" sheetId="1" r:id="rId1"/>
    <sheet name="Soil_Leaves" sheetId="2" r:id="rId2"/>
    <sheet name="Soil_WoodChip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F13" i="1"/>
  <c r="AE13" i="1"/>
  <c r="AC13" i="1"/>
  <c r="AB13" i="1"/>
  <c r="AA13" i="1"/>
  <c r="Y13" i="1"/>
  <c r="X13" i="1"/>
  <c r="W13" i="1"/>
  <c r="D36" i="1"/>
  <c r="D35" i="1"/>
  <c r="D34" i="1"/>
  <c r="H36" i="1"/>
  <c r="H35" i="1"/>
  <c r="H34" i="1"/>
  <c r="L36" i="1"/>
  <c r="L35" i="1"/>
  <c r="L34" i="1"/>
  <c r="AG12" i="1"/>
  <c r="AF12" i="1"/>
  <c r="AE12" i="1"/>
  <c r="AC12" i="1"/>
  <c r="AB12" i="1"/>
  <c r="AA12" i="1"/>
  <c r="Y12" i="1"/>
  <c r="X12" i="1"/>
  <c r="W12" i="1"/>
  <c r="D33" i="1"/>
  <c r="D32" i="1"/>
  <c r="D31" i="1"/>
  <c r="H33" i="1"/>
  <c r="H32" i="1"/>
  <c r="H31" i="1"/>
  <c r="L33" i="1"/>
  <c r="L32" i="1"/>
  <c r="L31" i="1"/>
  <c r="AE9" i="1"/>
  <c r="AG11" i="1"/>
  <c r="AF11" i="1"/>
  <c r="AE11" i="1"/>
  <c r="AG10" i="1"/>
  <c r="AF10" i="1"/>
  <c r="AE10" i="1"/>
  <c r="AG9" i="1"/>
  <c r="AF9" i="1"/>
  <c r="AG8" i="1"/>
  <c r="AF8" i="1"/>
  <c r="AE8" i="1"/>
  <c r="AG7" i="1"/>
  <c r="AF7" i="1"/>
  <c r="AE7" i="1"/>
  <c r="AG6" i="1"/>
  <c r="AF6" i="1"/>
  <c r="AE6" i="1"/>
  <c r="AG5" i="1"/>
  <c r="AF5" i="1"/>
  <c r="AE5" i="1"/>
  <c r="AG4" i="1"/>
  <c r="AF4" i="1"/>
  <c r="AE4" i="1"/>
  <c r="AG3" i="1"/>
  <c r="AE3" i="1"/>
  <c r="AC11" i="1"/>
  <c r="AA11" i="1"/>
  <c r="AC10" i="1"/>
  <c r="AB10" i="1"/>
  <c r="AA10" i="1"/>
  <c r="AC9" i="1"/>
  <c r="AA9" i="1"/>
  <c r="AC8" i="1"/>
  <c r="AA8" i="1"/>
  <c r="AC7" i="1"/>
  <c r="AA7" i="1"/>
  <c r="AC6" i="1"/>
  <c r="AB6" i="1"/>
  <c r="AA6" i="1"/>
  <c r="AC5" i="1"/>
  <c r="AB5" i="1"/>
  <c r="AA5" i="1"/>
  <c r="AC4" i="1"/>
  <c r="AA4" i="1"/>
  <c r="AA3" i="1"/>
  <c r="AC3" i="1"/>
  <c r="Y11" i="1"/>
  <c r="W11" i="1"/>
  <c r="L28" i="1"/>
  <c r="L29" i="1"/>
  <c r="L30" i="1"/>
  <c r="H28" i="1"/>
  <c r="AB11" i="1" s="1"/>
  <c r="H29" i="1"/>
  <c r="H30" i="1"/>
  <c r="D28" i="1"/>
  <c r="X11" i="1" s="1"/>
  <c r="D29" i="1"/>
  <c r="D30" i="1"/>
  <c r="X10" i="1"/>
  <c r="X7" i="1"/>
  <c r="X6" i="1"/>
  <c r="X5" i="1"/>
  <c r="Y3" i="1"/>
  <c r="Y4" i="1"/>
  <c r="Y5" i="1"/>
  <c r="Y6" i="1"/>
  <c r="Y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AF3" i="1" s="1"/>
  <c r="H5" i="1"/>
  <c r="H7" i="1"/>
  <c r="AB4" i="1" s="1"/>
  <c r="H8" i="1"/>
  <c r="H9" i="1"/>
  <c r="H10" i="1"/>
  <c r="H11" i="1"/>
  <c r="H12" i="1"/>
  <c r="H13" i="1"/>
  <c r="H14" i="1"/>
  <c r="H15" i="1"/>
  <c r="H16" i="1"/>
  <c r="AB7" i="1" s="1"/>
  <c r="H17" i="1"/>
  <c r="H18" i="1"/>
  <c r="H19" i="1"/>
  <c r="AB8" i="1" s="1"/>
  <c r="H20" i="1"/>
  <c r="H21" i="1"/>
  <c r="H22" i="1"/>
  <c r="AB9" i="1" s="1"/>
  <c r="H23" i="1"/>
  <c r="H24" i="1"/>
  <c r="H25" i="1"/>
  <c r="H26" i="1"/>
  <c r="H27" i="1"/>
  <c r="H4" i="1"/>
  <c r="AB3" i="1" s="1"/>
  <c r="D5" i="1"/>
  <c r="D6" i="1"/>
  <c r="D7" i="1"/>
  <c r="X4" i="1" s="1"/>
  <c r="D8" i="1"/>
  <c r="D9" i="1"/>
  <c r="D10" i="1"/>
  <c r="D11" i="1"/>
  <c r="D12" i="1"/>
  <c r="D13" i="1"/>
  <c r="D14" i="1"/>
  <c r="D15" i="1"/>
  <c r="D16" i="1"/>
  <c r="D17" i="1"/>
  <c r="D18" i="1"/>
  <c r="D19" i="1"/>
  <c r="X8" i="1" s="1"/>
  <c r="D20" i="1"/>
  <c r="D21" i="1"/>
  <c r="D22" i="1"/>
  <c r="X9" i="1" s="1"/>
  <c r="D23" i="1"/>
  <c r="D24" i="1"/>
  <c r="D25" i="1"/>
  <c r="D26" i="1"/>
  <c r="D27" i="1"/>
  <c r="D4" i="1"/>
  <c r="X3" i="1" s="1"/>
  <c r="Y10" i="1" l="1"/>
  <c r="W10" i="1"/>
  <c r="W9" i="1"/>
  <c r="Y9" i="1"/>
  <c r="Y8" i="1"/>
  <c r="W8" i="1"/>
  <c r="W7" i="1"/>
  <c r="W6" i="1"/>
  <c r="W5" i="1"/>
  <c r="W4" i="1"/>
  <c r="W3" i="1"/>
</calcChain>
</file>

<file path=xl/sharedStrings.xml><?xml version="1.0" encoding="utf-8"?>
<sst xmlns="http://schemas.openxmlformats.org/spreadsheetml/2006/main" count="72" uniqueCount="47">
  <si>
    <t>Field Test Datasheet</t>
  </si>
  <si>
    <t>Data</t>
  </si>
  <si>
    <t>GPR file no.</t>
  </si>
  <si>
    <t>Teros-12 (Soil)</t>
  </si>
  <si>
    <t>Teros-12 (Leaves)</t>
  </si>
  <si>
    <t>Teros-12 (Mulch)</t>
  </si>
  <si>
    <t>Note</t>
  </si>
  <si>
    <t>RAW</t>
  </si>
  <si>
    <t>EC</t>
  </si>
  <si>
    <t>Temp</t>
  </si>
  <si>
    <t>9.21.2025</t>
  </si>
  <si>
    <t>P3 F-292</t>
  </si>
  <si>
    <r>
      <rPr>
        <sz val="11"/>
        <color rgb="FF000000"/>
        <rFont val="Calibri"/>
        <scheme val="minor"/>
      </rPr>
      <t xml:space="preserve">1. tw=8.28 ns.                                                                                                         2. </t>
    </r>
    <r>
      <rPr>
        <b/>
        <sz val="11"/>
        <color rgb="FF000000"/>
        <rFont val="Calibri"/>
        <scheme val="minor"/>
      </rPr>
      <t>GPR scan order for all tests: soil -&gt; leaves -&gt; mulch</t>
    </r>
    <r>
      <rPr>
        <sz val="11"/>
        <color rgb="FF000000"/>
        <rFont val="Calibri"/>
        <scheme val="minor"/>
      </rPr>
      <t>.</t>
    </r>
  </si>
  <si>
    <t>9.22.2025</t>
  </si>
  <si>
    <t>1. tw=8.28 ns.                                                                                                         2. There is a extra division line mistakenly added for the mulch scan.</t>
  </si>
  <si>
    <t>9.23.2025</t>
  </si>
  <si>
    <t>1. tw changed to 10.33 ns in GPR scan from now on.</t>
  </si>
  <si>
    <t>9.24.2025</t>
  </si>
  <si>
    <t>9.25.2025</t>
  </si>
  <si>
    <t>9.26.2025</t>
  </si>
  <si>
    <t>9.27.2025</t>
  </si>
  <si>
    <t>9.28.2025</t>
  </si>
  <si>
    <t>9.29.2025</t>
  </si>
  <si>
    <t>9.30.2025</t>
  </si>
  <si>
    <t>Permitivity</t>
  </si>
  <si>
    <t>Soil</t>
  </si>
  <si>
    <t>Leaves</t>
  </si>
  <si>
    <t>p1</t>
  </si>
  <si>
    <t>c1</t>
  </si>
  <si>
    <t>d1</t>
  </si>
  <si>
    <t>p2</t>
  </si>
  <si>
    <t>c2</t>
  </si>
  <si>
    <t>d2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</si>
  <si>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</si>
  <si>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</si>
  <si>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</si>
  <si>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</si>
  <si>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</si>
  <si>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</si>
  <si>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</si>
  <si>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</si>
  <si>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</si>
  <si>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Wood Chips</t>
  </si>
  <si>
    <t>10.1.2025</t>
  </si>
  <si>
    <t>The last portion of mulch scan is not accurate.</t>
  </si>
  <si>
    <t>Day10</t>
  </si>
  <si>
    <t>Day11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</si>
</sst>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2" fillId="0" borderId="0" xfId="0" applyNumberFormat="1" applyFont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21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Soil RAW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Summery!$W$3:$W$13</c:f>
              <c:numCache>
                <c:formatCode>General</c:formatCode>
                <c:ptCount val="11"/>
                <c:pt idx="0">
                  <c:v>2006.7666666666664</c:v>
                </c:pt>
                <c:pt idx="1">
                  <c:v>1996.4333333333334</c:v>
                </c:pt>
                <c:pt idx="2">
                  <c:v>1988.7</c:v>
                </c:pt>
                <c:pt idx="3">
                  <c:v>2552.6333333333332</c:v>
                </c:pt>
                <c:pt idx="4">
                  <c:v>2404.8666666666668</c:v>
                </c:pt>
                <c:pt idx="5">
                  <c:v>2386.3999999999996</c:v>
                </c:pt>
                <c:pt idx="6">
                  <c:v>2296.3333333333335</c:v>
                </c:pt>
                <c:pt idx="7">
                  <c:v>2244.8000000000002</c:v>
                </c:pt>
                <c:pt idx="8">
                  <c:v>2245.5333333333333</c:v>
                </c:pt>
                <c:pt idx="9">
                  <c:v>2223.5</c:v>
                </c:pt>
                <c:pt idx="10">
                  <c:v>2063.2999999999997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3B9-A7BE-0B07F4657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35496"/>
        <c:axId val="76740616"/>
      </c:lineChart>
      <c:catAx>
        <c:axId val="76735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0616"/>
        <c:crosses val="autoZero"/>
        <c:auto val="1"/>
        <c:lblAlgn val="ctr"/>
        <c:lblOffset val="100"/>
        <c:noMultiLvlLbl val="0"/>
      </c:catAx>
      <c:valAx>
        <c:axId val="7674061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Soil Conductivity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Summery!$Y$3:$Y$13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0.11733333333333333</c:v>
                </c:pt>
                <c:pt idx="4">
                  <c:v>8.7666666666666671E-2</c:v>
                </c:pt>
                <c:pt idx="5">
                  <c:v>7.2666666666666671E-2</c:v>
                </c:pt>
                <c:pt idx="6">
                  <c:v>6.133333333333333E-2</c:v>
                </c:pt>
                <c:pt idx="7">
                  <c:v>5.7333333333333326E-2</c:v>
                </c:pt>
                <c:pt idx="8">
                  <c:v>6.3666666666666663E-2</c:v>
                </c:pt>
                <c:pt idx="9">
                  <c:v>5.6333333333333326E-2</c:v>
                </c:pt>
                <c:pt idx="10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2-41D6-8AFD-315E95164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9400"/>
        <c:axId val="27581448"/>
      </c:lineChart>
      <c:catAx>
        <c:axId val="2757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1448"/>
        <c:crosses val="autoZero"/>
        <c:auto val="1"/>
        <c:lblAlgn val="ctr"/>
        <c:lblOffset val="100"/>
        <c:noMultiLvlLbl val="0"/>
      </c:catAx>
      <c:valAx>
        <c:axId val="2758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316191</xdr:colOff>
      <xdr:row>3</xdr:row>
      <xdr:rowOff>47997</xdr:rowOff>
    </xdr:from>
    <xdr:to>
      <xdr:col>21</xdr:col>
      <xdr:colOff>244402</xdr:colOff>
      <xdr:row>18</xdr:row>
      <xdr:rowOff>179510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73295-A0E9-28CD-2623-47F42E62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8515" y="809997"/>
          <a:ext cx="3558917" cy="3117881"/>
        </a:xfrm>
        <a:prstGeom prst="rect">
          <a:avLst/>
        </a:prstGeom>
      </xdr:spPr>
    </xdr:pic>
    <xdr:clientData/>
  </xdr:twoCellAnchor>
  <xdr:twoCellAnchor>
    <xdr:from>
      <xdr:col>15</xdr:col>
      <xdr:colOff>314325</xdr:colOff>
      <xdr:row>20</xdr:row>
      <xdr:rowOff>85725</xdr:rowOff>
    </xdr:from>
    <xdr:to>
      <xdr:col>21</xdr:col>
      <xdr:colOff>180975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39D51-2022-61D5-3CF4-867D0CF33C9A}"/>
            </a:ext>
            <a:ext uri="{147F2762-F138-4A5C-976F-8EAC2B608ADB}">
              <a16:predDERef xmlns:a16="http://schemas.microsoft.com/office/drawing/2014/main" pred="{01B73295-A0E9-28CD-2623-47F42E629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352425</xdr:colOff>
      <xdr:row>20</xdr:row>
      <xdr:rowOff>85725</xdr:rowOff>
    </xdr:from>
    <xdr:to>
      <xdr:col>28</xdr:col>
      <xdr:colOff>276225</xdr:colOff>
      <xdr:row>30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68A89C-045B-0224-5BC3-8E1C840E7A0A}"/>
            </a:ext>
            <a:ext uri="{147F2762-F138-4A5C-976F-8EAC2B608ADB}">
              <a16:predDERef xmlns:a16="http://schemas.microsoft.com/office/drawing/2014/main" pred="{F9439D51-2022-61D5-3CF4-867D0CF33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6"/>
  <sheetViews>
    <sheetView tabSelected="1" zoomScale="85" zoomScaleNormal="85" workbookViewId="0">
      <selection activeCell="AE23" sqref="AE23"/>
    </sheetView>
  </sheetViews>
  <sheetFormatPr defaultRowHeight="15" x14ac:dyDescent="0.25"/>
  <cols>
    <col min="1" max="1" width="13" style="1" customWidth="1"/>
    <col min="2" max="2" width="12.140625" style="1" customWidth="1"/>
    <col min="3" max="3" width="8.7109375" style="1" customWidth="1"/>
    <col min="4" max="4" width="15.7109375" style="1" customWidth="1"/>
    <col min="5" max="7" width="8.7109375" style="1" customWidth="1"/>
    <col min="8" max="8" width="15.7109375" style="1" customWidth="1"/>
    <col min="9" max="11" width="8.7109375" style="1" customWidth="1"/>
    <col min="12" max="12" width="15.7109375" style="1" customWidth="1"/>
    <col min="13" max="14" width="8.7109375" style="1" customWidth="1"/>
    <col min="15" max="15" width="63" style="1" customWidth="1"/>
    <col min="16" max="23" width="9.140625" style="1"/>
    <col min="24" max="24" width="9.140625" style="7"/>
    <col min="25" max="25" width="10.140625" style="11" bestFit="1" customWidth="1"/>
    <col min="27" max="27" width="9.140625" style="14"/>
    <col min="28" max="28" width="9.140625" style="15"/>
    <col min="29" max="29" width="9.140625" style="16"/>
    <col min="31" max="31" width="9.140625" style="12"/>
    <col min="32" max="32" width="9.140625" style="13"/>
    <col min="33" max="33" width="9.140625" style="9"/>
  </cols>
  <sheetData>
    <row r="1" spans="1:33" s="2" customFormat="1" ht="37.5" customHeight="1" thickBot="1" x14ac:dyDescent="0.3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3"/>
      <c r="Q1" s="3"/>
      <c r="R1" s="3"/>
      <c r="S1" s="3"/>
      <c r="T1" s="3"/>
      <c r="U1" s="3"/>
      <c r="V1" s="3"/>
      <c r="W1" s="3"/>
      <c r="X1" s="6"/>
      <c r="Y1" s="24"/>
      <c r="AA1" s="12"/>
      <c r="AB1" s="13"/>
      <c r="AC1" s="9"/>
      <c r="AE1" s="12"/>
      <c r="AF1" s="13"/>
      <c r="AG1" s="9"/>
    </row>
    <row r="2" spans="1:33" s="2" customFormat="1" x14ac:dyDescent="0.25">
      <c r="A2" s="76" t="s">
        <v>1</v>
      </c>
      <c r="B2" s="86" t="s">
        <v>2</v>
      </c>
      <c r="C2" s="76" t="s">
        <v>3</v>
      </c>
      <c r="D2" s="77"/>
      <c r="E2" s="77"/>
      <c r="F2" s="78"/>
      <c r="G2" s="76" t="s">
        <v>4</v>
      </c>
      <c r="H2" s="77"/>
      <c r="I2" s="77"/>
      <c r="J2" s="78"/>
      <c r="K2" s="76" t="s">
        <v>5</v>
      </c>
      <c r="L2" s="77"/>
      <c r="M2" s="77"/>
      <c r="N2" s="78"/>
      <c r="O2" s="66" t="s">
        <v>6</v>
      </c>
      <c r="P2" s="3"/>
      <c r="Q2" s="3"/>
      <c r="R2" s="3"/>
      <c r="S2" s="3"/>
      <c r="T2" s="3"/>
      <c r="U2" s="3"/>
      <c r="V2" s="3"/>
      <c r="W2" s="96" t="s">
        <v>25</v>
      </c>
      <c r="X2" s="96"/>
      <c r="Y2" s="96"/>
      <c r="AA2" s="92" t="s">
        <v>26</v>
      </c>
      <c r="AB2" s="92"/>
      <c r="AC2" s="92"/>
      <c r="AE2" s="92" t="s">
        <v>42</v>
      </c>
      <c r="AF2" s="92"/>
      <c r="AG2" s="92"/>
    </row>
    <row r="3" spans="1:33" s="2" customFormat="1" ht="15.75" thickBot="1" x14ac:dyDescent="0.3">
      <c r="A3" s="85"/>
      <c r="B3" s="87"/>
      <c r="C3" s="30" t="s">
        <v>7</v>
      </c>
      <c r="D3" s="17" t="s">
        <v>24</v>
      </c>
      <c r="E3" s="17" t="s">
        <v>8</v>
      </c>
      <c r="F3" s="41" t="s">
        <v>9</v>
      </c>
      <c r="G3" s="30" t="s">
        <v>7</v>
      </c>
      <c r="H3" s="17" t="s">
        <v>24</v>
      </c>
      <c r="I3" s="17" t="s">
        <v>8</v>
      </c>
      <c r="J3" s="41" t="s">
        <v>9</v>
      </c>
      <c r="K3" s="30" t="s">
        <v>7</v>
      </c>
      <c r="L3" s="17" t="s">
        <v>24</v>
      </c>
      <c r="M3" s="17" t="s">
        <v>8</v>
      </c>
      <c r="N3" s="41" t="s">
        <v>9</v>
      </c>
      <c r="O3" s="67"/>
      <c r="P3" s="3"/>
      <c r="Q3" s="3"/>
      <c r="R3" s="3"/>
      <c r="S3" s="3"/>
      <c r="T3" s="3"/>
      <c r="U3" s="3"/>
      <c r="V3" s="3"/>
      <c r="W3" s="3">
        <f>AVERAGE(C4:C6)</f>
        <v>2006.7666666666664</v>
      </c>
      <c r="X3" s="6">
        <f>AVERAGE(D4:D6)</f>
        <v>4.221679400275832</v>
      </c>
      <c r="Y3" s="9">
        <f>AVERAGE(E4:E6)</f>
        <v>0</v>
      </c>
      <c r="AA3" s="12">
        <f>AVERAGE(G4:G5)</f>
        <v>1826.1999999999998</v>
      </c>
      <c r="AB3" s="13">
        <f>AVERAGE(H4:H5)</f>
        <v>1.3810494745880304</v>
      </c>
      <c r="AC3" s="9">
        <f>AVERAGE(I4:I5)</f>
        <v>0</v>
      </c>
      <c r="AE3" s="12">
        <f>AVERAGE(K4:K6)</f>
        <v>1849.7333333333333</v>
      </c>
      <c r="AF3" s="13">
        <f>AVERAGE(L4:L6)</f>
        <v>1.7055981032786545</v>
      </c>
      <c r="AG3" s="9">
        <f>AVERAGE(M4:M6)</f>
        <v>0</v>
      </c>
    </row>
    <row r="4" spans="1:33" x14ac:dyDescent="0.25">
      <c r="A4" s="79" t="s">
        <v>10</v>
      </c>
      <c r="B4" s="82" t="s">
        <v>11</v>
      </c>
      <c r="C4" s="27">
        <v>1977.9</v>
      </c>
      <c r="D4" s="19">
        <f>(2.887*10^(-9)*C4^3-2.08*10^(-5)*C4^2+5.276*10^(-2)*C4-43.39)^2</f>
        <v>3.7301582021911268</v>
      </c>
      <c r="E4" s="19">
        <v>0</v>
      </c>
      <c r="F4" s="42">
        <v>25</v>
      </c>
      <c r="G4" s="27">
        <v>1823.8</v>
      </c>
      <c r="H4" s="19">
        <f>(2.887*10^(-9)*G4^3-2.08*10^(-5)*G4^2+5.276*10^(-2)*G4-43.39)^2</f>
        <v>1.3490420316066423</v>
      </c>
      <c r="I4" s="19">
        <v>0</v>
      </c>
      <c r="J4" s="42">
        <v>24.8</v>
      </c>
      <c r="K4" s="27">
        <v>1847</v>
      </c>
      <c r="L4" s="19">
        <f>(2.887*10^(-9)*K4^3-2.08*10^(-5)*K4^2+5.276*10^(-2)*K4-43.39)^2</f>
        <v>1.6667622957803081</v>
      </c>
      <c r="M4" s="19">
        <v>0</v>
      </c>
      <c r="N4" s="42">
        <v>25.3</v>
      </c>
      <c r="O4" s="70" t="s">
        <v>12</v>
      </c>
      <c r="W4" s="3">
        <f>AVERAGE(C7:C9)</f>
        <v>1996.4333333333334</v>
      </c>
      <c r="X4" s="6">
        <f>AVERAGE(D7:D9)</f>
        <v>4.0445056798953045</v>
      </c>
      <c r="Y4" s="9">
        <f>AVERAGE(E7:E9)</f>
        <v>0</v>
      </c>
      <c r="AA4" s="12">
        <f>AVERAGE(G7:G9)</f>
        <v>1819.4333333333334</v>
      </c>
      <c r="AB4" s="13">
        <f>AVERAGE(H7:H9)</f>
        <v>1.2917286674721311</v>
      </c>
      <c r="AC4" s="9">
        <f>AVERAGE(I7:I9)</f>
        <v>0</v>
      </c>
      <c r="AE4" s="12">
        <f>AVERAGE(K7:K9)</f>
        <v>1849.8999999999999</v>
      </c>
      <c r="AF4" s="13">
        <f>AVERAGE(L7:L9)</f>
        <v>1.7080926868545692</v>
      </c>
      <c r="AG4" s="9">
        <f>AVERAGE(M7:M9)</f>
        <v>0</v>
      </c>
    </row>
    <row r="5" spans="1:33" x14ac:dyDescent="0.25">
      <c r="A5" s="80"/>
      <c r="B5" s="83"/>
      <c r="C5" s="28">
        <v>2012.8</v>
      </c>
      <c r="D5" s="4">
        <f t="shared" ref="D5:D36" si="0">(2.887*10^(-9)*C5^3-2.08*10^(-5)*C5^2+5.276*10^(-2)*C5-43.39)^2</f>
        <v>4.3232698292427862</v>
      </c>
      <c r="E5" s="4">
        <v>0</v>
      </c>
      <c r="F5" s="43">
        <v>24.9</v>
      </c>
      <c r="G5" s="28">
        <v>1828.6</v>
      </c>
      <c r="H5" s="4">
        <f t="shared" ref="H5:H36" si="1">(2.887*10^(-9)*G5^3-2.08*10^(-5)*G5^2+5.276*10^(-2)*G5-43.39)^2</f>
        <v>1.4130569175694185</v>
      </c>
      <c r="I5" s="4">
        <v>0</v>
      </c>
      <c r="J5" s="43">
        <v>24.9</v>
      </c>
      <c r="K5" s="28">
        <v>1852.7</v>
      </c>
      <c r="L5" s="4">
        <f t="shared" ref="L5:L36" si="2">(2.887*10^(-9)*K5^3-2.08*10^(-5)*K5^2+5.276*10^(-2)*K5-43.39)^2</f>
        <v>1.7478446059377049</v>
      </c>
      <c r="M5" s="4">
        <v>0</v>
      </c>
      <c r="N5" s="43">
        <v>25.3</v>
      </c>
      <c r="O5" s="71"/>
      <c r="W5" s="3">
        <f>AVERAGE(C10:C12)</f>
        <v>1988.7</v>
      </c>
      <c r="X5" s="6">
        <f>AVERAGE(D10:D12)</f>
        <v>3.9131082495848957</v>
      </c>
      <c r="Y5" s="9">
        <f>AVERAGE(E10:E12)</f>
        <v>0</v>
      </c>
      <c r="AA5" s="12">
        <f>AVERAGE(G10:G12)</f>
        <v>1819.3666666666668</v>
      </c>
      <c r="AB5" s="13">
        <f>AVERAGE(H10:H12)</f>
        <v>1.2908164445643098</v>
      </c>
      <c r="AC5" s="9">
        <f>AVERAGE(I10:I12)</f>
        <v>0</v>
      </c>
      <c r="AE5" s="12">
        <f>AVERAGE(K10:K12)</f>
        <v>1845.0333333333335</v>
      </c>
      <c r="AF5" s="13">
        <f>AVERAGE(L10:L12)</f>
        <v>1.6390616598129244</v>
      </c>
      <c r="AG5" s="9">
        <f>AVERAGE(M10:M12)</f>
        <v>0</v>
      </c>
    </row>
    <row r="6" spans="1:33" ht="15.75" thickBot="1" x14ac:dyDescent="0.3">
      <c r="A6" s="81"/>
      <c r="B6" s="84"/>
      <c r="C6" s="29">
        <v>2029.6</v>
      </c>
      <c r="D6" s="20">
        <f t="shared" si="0"/>
        <v>4.6116101693935834</v>
      </c>
      <c r="E6" s="20">
        <v>0</v>
      </c>
      <c r="F6" s="44">
        <v>24.7</v>
      </c>
      <c r="G6" s="53"/>
      <c r="H6" s="21"/>
      <c r="I6" s="21"/>
      <c r="J6" s="54"/>
      <c r="K6" s="29">
        <v>1849.5</v>
      </c>
      <c r="L6" s="20">
        <f t="shared" si="2"/>
        <v>1.70218740811795</v>
      </c>
      <c r="M6" s="20">
        <v>0</v>
      </c>
      <c r="N6" s="44">
        <v>25.5</v>
      </c>
      <c r="O6" s="72"/>
      <c r="W6" s="3">
        <f>AVERAGE(C13:C15)</f>
        <v>2552.6333333333332</v>
      </c>
      <c r="X6" s="6">
        <f>AVERAGE(D13:D15)</f>
        <v>14.302879847937115</v>
      </c>
      <c r="Y6" s="9">
        <f>AVERAGE(E13:E15)</f>
        <v>0.11733333333333333</v>
      </c>
      <c r="AA6" s="12">
        <f>AVERAGE(G13:G15)</f>
        <v>1917.4333333333334</v>
      </c>
      <c r="AB6" s="13">
        <f>AVERAGE(H13:H15)</f>
        <v>2.7401403632777335</v>
      </c>
      <c r="AC6" s="9">
        <f>AVERAGE(I13:I15)</f>
        <v>2.7333333333333334E-2</v>
      </c>
      <c r="AE6" s="12">
        <f>AVERAGE(K13:K15)</f>
        <v>1932.0666666666666</v>
      </c>
      <c r="AF6" s="13">
        <f>AVERAGE(L13:L15)</f>
        <v>2.9716141690484235</v>
      </c>
      <c r="AG6" s="9">
        <f>AVERAGE(M13:M15)</f>
        <v>0</v>
      </c>
    </row>
    <row r="7" spans="1:33" x14ac:dyDescent="0.25">
      <c r="A7" s="79" t="s">
        <v>13</v>
      </c>
      <c r="B7" s="82">
        <v>293</v>
      </c>
      <c r="C7" s="27">
        <v>1979.9</v>
      </c>
      <c r="D7" s="19">
        <f t="shared" si="0"/>
        <v>3.7638755201365224</v>
      </c>
      <c r="E7" s="19">
        <v>0</v>
      </c>
      <c r="F7" s="42">
        <v>23.3</v>
      </c>
      <c r="G7" s="27">
        <v>1822.3</v>
      </c>
      <c r="H7" s="19">
        <f t="shared" si="1"/>
        <v>1.3292328440896251</v>
      </c>
      <c r="I7" s="19">
        <v>0</v>
      </c>
      <c r="J7" s="42">
        <v>22.9</v>
      </c>
      <c r="K7" s="27">
        <v>1851.4</v>
      </c>
      <c r="L7" s="19">
        <f t="shared" si="2"/>
        <v>1.7292544593023056</v>
      </c>
      <c r="M7" s="19">
        <v>0</v>
      </c>
      <c r="N7" s="42">
        <v>22.5</v>
      </c>
      <c r="O7" s="73" t="s">
        <v>14</v>
      </c>
      <c r="W7" s="3">
        <f>AVERAGE(C16:C18)</f>
        <v>2404.8666666666668</v>
      </c>
      <c r="X7" s="6">
        <f>AVERAGE(D16:D18)</f>
        <v>11.256099565844567</v>
      </c>
      <c r="Y7" s="9">
        <f>AVERAGE(E16:E18)</f>
        <v>8.7666666666666671E-2</v>
      </c>
      <c r="AA7" s="12">
        <f>AVERAGE(G16:G18)</f>
        <v>1823.7333333333333</v>
      </c>
      <c r="AB7" s="13">
        <f>AVERAGE(H16:H18)</f>
        <v>1.3481605040951805</v>
      </c>
      <c r="AC7" s="9">
        <f>AVERAGE(I16:I18)</f>
        <v>0</v>
      </c>
      <c r="AE7" s="12">
        <f>AVERAGE(K16:K18)</f>
        <v>1868.6000000000001</v>
      </c>
      <c r="AF7" s="13">
        <f>AVERAGE(L16:L18)</f>
        <v>1.9803003465354356</v>
      </c>
      <c r="AG7" s="9">
        <f>AVERAGE(M16:M18)</f>
        <v>0</v>
      </c>
    </row>
    <row r="8" spans="1:33" x14ac:dyDescent="0.25">
      <c r="A8" s="80"/>
      <c r="B8" s="83"/>
      <c r="C8" s="28">
        <v>2005.9</v>
      </c>
      <c r="D8" s="4">
        <f t="shared" si="0"/>
        <v>4.2053012740296696</v>
      </c>
      <c r="E8" s="4">
        <v>0</v>
      </c>
      <c r="F8" s="43">
        <v>23.3</v>
      </c>
      <c r="G8" s="28">
        <v>1817.8</v>
      </c>
      <c r="H8" s="4">
        <f t="shared" si="1"/>
        <v>1.2703784718866347</v>
      </c>
      <c r="I8" s="4">
        <v>0</v>
      </c>
      <c r="J8" s="43">
        <v>23</v>
      </c>
      <c r="K8" s="28">
        <v>1845</v>
      </c>
      <c r="L8" s="4">
        <f t="shared" si="2"/>
        <v>1.6385797754912808</v>
      </c>
      <c r="M8" s="4">
        <v>0</v>
      </c>
      <c r="N8" s="43">
        <v>22.5</v>
      </c>
      <c r="O8" s="74"/>
      <c r="W8" s="3">
        <f>AVERAGE(C19:C21)</f>
        <v>2386.3999999999996</v>
      </c>
      <c r="X8" s="6">
        <f>AVERAGE(D19:D21)</f>
        <v>10.881210258282145</v>
      </c>
      <c r="Y8" s="9">
        <f>AVERAGE(E19:E21)</f>
        <v>7.2666666666666671E-2</v>
      </c>
      <c r="AA8" s="12">
        <f>AVERAGE(G19:G21)</f>
        <v>1826.0333333333335</v>
      </c>
      <c r="AB8" s="13">
        <f>AVERAGE(H19:H21)</f>
        <v>1.3787143432717031</v>
      </c>
      <c r="AC8" s="9">
        <f>AVERAGE(I19:I21)</f>
        <v>0</v>
      </c>
      <c r="AE8" s="12">
        <f>AVERAGE(K19:K21)</f>
        <v>1891.8999999999999</v>
      </c>
      <c r="AF8" s="13">
        <f>AVERAGE(L19:L21)</f>
        <v>2.3627222380832982</v>
      </c>
      <c r="AG8" s="9">
        <f>AVERAGE(M19:M21)</f>
        <v>0</v>
      </c>
    </row>
    <row r="9" spans="1:33" ht="14.25" customHeight="1" thickBot="1" x14ac:dyDescent="0.3">
      <c r="A9" s="81"/>
      <c r="B9" s="84"/>
      <c r="C9" s="29">
        <v>2003.5</v>
      </c>
      <c r="D9" s="20">
        <f t="shared" si="0"/>
        <v>4.164340245519722</v>
      </c>
      <c r="E9" s="20">
        <v>0</v>
      </c>
      <c r="F9" s="44">
        <v>23.3</v>
      </c>
      <c r="G9" s="29">
        <v>1818.2</v>
      </c>
      <c r="H9" s="20">
        <f t="shared" si="1"/>
        <v>1.2755746864401338</v>
      </c>
      <c r="I9" s="20">
        <v>0</v>
      </c>
      <c r="J9" s="44">
        <v>23.1</v>
      </c>
      <c r="K9" s="29">
        <v>1853.3</v>
      </c>
      <c r="L9" s="20">
        <f t="shared" si="2"/>
        <v>1.7564438257701203</v>
      </c>
      <c r="M9" s="20">
        <v>0</v>
      </c>
      <c r="N9" s="44">
        <v>22.6</v>
      </c>
      <c r="O9" s="75"/>
      <c r="W9" s="3">
        <f>AVERAGE(C22:C24)</f>
        <v>2296.3333333333335</v>
      </c>
      <c r="X9" s="6">
        <f>AVERAGE(D22:D24)</f>
        <v>9.2541855768537289</v>
      </c>
      <c r="Y9" s="9">
        <f>AVERAGE(E22:E24)</f>
        <v>6.133333333333333E-2</v>
      </c>
      <c r="AA9" s="12">
        <f>AVERAGE(G22:G24)</f>
        <v>1822.1333333333332</v>
      </c>
      <c r="AB9" s="13">
        <f>AVERAGE(H22:H24)</f>
        <v>1.3270396764162879</v>
      </c>
      <c r="AC9" s="9">
        <f>AVERAGE(I22:I24)</f>
        <v>0</v>
      </c>
      <c r="AE9" s="12">
        <f>AVERAGE(K22:K24)</f>
        <v>1846.6333333333332</v>
      </c>
      <c r="AF9" s="13">
        <f>AVERAGE(L22:L24)</f>
        <v>1.6620731222369542</v>
      </c>
      <c r="AG9" s="9">
        <f>AVERAGE(M22:M24)</f>
        <v>0</v>
      </c>
    </row>
    <row r="10" spans="1:33" x14ac:dyDescent="0.25">
      <c r="A10" s="79" t="s">
        <v>15</v>
      </c>
      <c r="B10" s="82">
        <v>294</v>
      </c>
      <c r="C10" s="27">
        <v>1974.8</v>
      </c>
      <c r="D10" s="19">
        <f t="shared" si="0"/>
        <v>3.6779734489181695</v>
      </c>
      <c r="E10" s="19">
        <v>0</v>
      </c>
      <c r="F10" s="42">
        <v>24</v>
      </c>
      <c r="G10" s="27">
        <v>1819.3</v>
      </c>
      <c r="H10" s="19">
        <f t="shared" si="1"/>
        <v>1.2899000310010988</v>
      </c>
      <c r="I10" s="19">
        <v>0</v>
      </c>
      <c r="J10" s="42">
        <v>23.4</v>
      </c>
      <c r="K10" s="27">
        <v>1845.2</v>
      </c>
      <c r="L10" s="19">
        <f t="shared" si="2"/>
        <v>1.6413916548093479</v>
      </c>
      <c r="M10" s="19">
        <v>0</v>
      </c>
      <c r="N10" s="42">
        <v>23.4</v>
      </c>
      <c r="O10" s="93" t="s">
        <v>16</v>
      </c>
      <c r="W10" s="3">
        <f>AVERAGE(C25:C27)</f>
        <v>2244.8000000000002</v>
      </c>
      <c r="X10" s="6">
        <f>AVERAGE(D25:D27)</f>
        <v>8.3480888372298345</v>
      </c>
      <c r="Y10" s="9">
        <f>AVERAGE(E25:E27)</f>
        <v>5.7333333333333326E-2</v>
      </c>
      <c r="AA10" s="12">
        <f>AVERAGE(G25:G27)</f>
        <v>1824.8999999999999</v>
      </c>
      <c r="AB10" s="13">
        <f>AVERAGE(H25:H27)</f>
        <v>1.3637358834875009</v>
      </c>
      <c r="AC10" s="9">
        <f>AVERAGE(I25:I27)</f>
        <v>0</v>
      </c>
      <c r="AE10" s="12">
        <f>AVERAGE(K25:K27)</f>
        <v>1842.3</v>
      </c>
      <c r="AF10" s="13">
        <f>AVERAGE(L25:L27)</f>
        <v>1.6009322286915901</v>
      </c>
      <c r="AG10" s="9">
        <f>AVERAGE(M25:M27)</f>
        <v>0</v>
      </c>
    </row>
    <row r="11" spans="1:33" x14ac:dyDescent="0.25">
      <c r="A11" s="80"/>
      <c r="B11" s="83"/>
      <c r="C11" s="28">
        <v>1998.5</v>
      </c>
      <c r="D11" s="4">
        <f t="shared" si="0"/>
        <v>4.079132204108304</v>
      </c>
      <c r="E11" s="4">
        <v>0</v>
      </c>
      <c r="F11" s="43">
        <v>24</v>
      </c>
      <c r="G11" s="28">
        <v>1821.2</v>
      </c>
      <c r="H11" s="4">
        <f t="shared" si="1"/>
        <v>1.3147663272200616</v>
      </c>
      <c r="I11" s="4">
        <v>0</v>
      </c>
      <c r="J11" s="43">
        <v>23.5</v>
      </c>
      <c r="K11" s="28">
        <v>1843.9</v>
      </c>
      <c r="L11" s="4">
        <f t="shared" si="2"/>
        <v>1.6231399546766689</v>
      </c>
      <c r="M11" s="4">
        <v>0</v>
      </c>
      <c r="N11" s="43">
        <v>23.4</v>
      </c>
      <c r="O11" s="94"/>
      <c r="W11" s="3">
        <f>AVERAGE(C28:C30)</f>
        <v>2245.5333333333333</v>
      </c>
      <c r="X11" s="6">
        <f>AVERAGE(D28:D30)</f>
        <v>8.3609579887692309</v>
      </c>
      <c r="Y11" s="8">
        <f>AVERAGE(E28:E30)</f>
        <v>6.3666666666666663E-2</v>
      </c>
      <c r="AA11" s="12">
        <f>AVERAGE(G28:G30)</f>
        <v>1817.9333333333332</v>
      </c>
      <c r="AB11" s="13">
        <f>AVERAGE(H28:H30)</f>
        <v>1.2721297088166053</v>
      </c>
      <c r="AC11" s="9">
        <f>AVERAGE(I28:I30)</f>
        <v>0</v>
      </c>
      <c r="AE11" s="12">
        <f>AVERAGE(K28:K30)</f>
        <v>1838.9666666666669</v>
      </c>
      <c r="AF11" s="13">
        <f>AVERAGE(L28:L30)</f>
        <v>1.5546021156242056</v>
      </c>
      <c r="AG11" s="9">
        <f>AVERAGE(M28:M30)</f>
        <v>0</v>
      </c>
    </row>
    <row r="12" spans="1:33" ht="15.75" thickBot="1" x14ac:dyDescent="0.3">
      <c r="A12" s="81"/>
      <c r="B12" s="84"/>
      <c r="C12" s="29">
        <v>1992.8</v>
      </c>
      <c r="D12" s="20">
        <f t="shared" si="0"/>
        <v>3.9822190957282135</v>
      </c>
      <c r="E12" s="20">
        <v>0</v>
      </c>
      <c r="F12" s="44">
        <v>24</v>
      </c>
      <c r="G12" s="29">
        <v>1817.6</v>
      </c>
      <c r="H12" s="20">
        <f t="shared" si="1"/>
        <v>1.2677829754717691</v>
      </c>
      <c r="I12" s="20">
        <v>0</v>
      </c>
      <c r="J12" s="44">
        <v>23.6</v>
      </c>
      <c r="K12" s="29">
        <v>1846</v>
      </c>
      <c r="L12" s="20">
        <f t="shared" si="2"/>
        <v>1.6526533699527561</v>
      </c>
      <c r="M12" s="20">
        <v>0</v>
      </c>
      <c r="N12" s="44">
        <v>23.8</v>
      </c>
      <c r="O12" s="95"/>
      <c r="W12" s="3">
        <f>AVERAGE(C31:C33)</f>
        <v>2223.5</v>
      </c>
      <c r="X12" s="6">
        <f>AVERAGE(D31:D33)</f>
        <v>7.975994921945289</v>
      </c>
      <c r="Y12" s="9">
        <f>AVERAGE(E31:E33)</f>
        <v>5.6333333333333326E-2</v>
      </c>
      <c r="AA12" s="12">
        <f>AVERAGE(G31:G33)</f>
        <v>1826.0333333333335</v>
      </c>
      <c r="AB12" s="13">
        <f>AVERAGE(H31:H33)</f>
        <v>1.3787729618983786</v>
      </c>
      <c r="AC12" s="9">
        <f>AVERAGE(I31:I33)</f>
        <v>0</v>
      </c>
      <c r="AE12" s="12">
        <f>AVERAGE(K31:K33)</f>
        <v>1842.7666666666667</v>
      </c>
      <c r="AF12" s="13">
        <f>AVERAGE(L31:L33)</f>
        <v>1.6074405115553834</v>
      </c>
      <c r="AG12" s="9">
        <f>AVERAGE(M31:M33)</f>
        <v>0</v>
      </c>
    </row>
    <row r="13" spans="1:33" ht="14.45" customHeight="1" x14ac:dyDescent="0.25">
      <c r="A13" s="79" t="s">
        <v>17</v>
      </c>
      <c r="B13" s="82">
        <v>295</v>
      </c>
      <c r="C13" s="27">
        <v>2472.5</v>
      </c>
      <c r="D13" s="19">
        <f t="shared" si="0"/>
        <v>12.53478823859075</v>
      </c>
      <c r="E13" s="19">
        <v>9.5000000000000001E-2</v>
      </c>
      <c r="F13" s="42">
        <v>21.3</v>
      </c>
      <c r="G13" s="27">
        <v>1952.2</v>
      </c>
      <c r="H13" s="19">
        <f t="shared" si="1"/>
        <v>3.3007143557163778</v>
      </c>
      <c r="I13" s="19">
        <v>2.7E-2</v>
      </c>
      <c r="J13" s="42">
        <v>21.5</v>
      </c>
      <c r="K13" s="27">
        <v>1938.3</v>
      </c>
      <c r="L13" s="19">
        <f t="shared" si="2"/>
        <v>3.0719387929391369</v>
      </c>
      <c r="M13" s="19">
        <v>0</v>
      </c>
      <c r="N13" s="42">
        <v>21.7</v>
      </c>
      <c r="O13" s="61"/>
      <c r="W13" s="3">
        <f>AVERAGE(C34:C36)</f>
        <v>2063.2999999999997</v>
      </c>
      <c r="X13" s="6">
        <f>AVERAGE(D34:D36)</f>
        <v>5.1951889449928315</v>
      </c>
      <c r="Y13" s="9">
        <f>AVERAGE(E34:E36)</f>
        <v>2.7E-2</v>
      </c>
      <c r="AA13" s="12">
        <f>AVERAGE(G34:G36)</f>
        <v>1818.7666666666664</v>
      </c>
      <c r="AB13" s="13">
        <f>AVERAGE(H34:H36)</f>
        <v>1.2830343920703686</v>
      </c>
      <c r="AC13" s="9">
        <f>AVERAGE(I34:I36)</f>
        <v>0</v>
      </c>
      <c r="AE13" s="12">
        <f>AVERAGE(K34:K36)</f>
        <v>1843.5666666666666</v>
      </c>
      <c r="AF13" s="13">
        <f>AVERAGE(L34:L36)</f>
        <v>1.6186861403131001</v>
      </c>
      <c r="AG13" s="9">
        <f>AVERAGE(M34:M36)</f>
        <v>0</v>
      </c>
    </row>
    <row r="14" spans="1:33" ht="14.45" customHeight="1" x14ac:dyDescent="0.25">
      <c r="A14" s="80"/>
      <c r="B14" s="83"/>
      <c r="C14" s="28">
        <v>2595.4</v>
      </c>
      <c r="D14" s="4">
        <f t="shared" si="0"/>
        <v>15.252661775918016</v>
      </c>
      <c r="E14" s="4">
        <v>0.121</v>
      </c>
      <c r="F14" s="43">
        <v>21.3</v>
      </c>
      <c r="G14" s="28">
        <v>1892.4</v>
      </c>
      <c r="H14" s="4">
        <f t="shared" si="1"/>
        <v>2.3402440476266939</v>
      </c>
      <c r="I14" s="4">
        <v>2.5000000000000001E-2</v>
      </c>
      <c r="J14" s="43">
        <v>21.4</v>
      </c>
      <c r="K14" s="28">
        <v>1943.3</v>
      </c>
      <c r="L14" s="4">
        <f t="shared" si="2"/>
        <v>3.1539115872476358</v>
      </c>
      <c r="M14" s="4">
        <v>0</v>
      </c>
      <c r="N14" s="43">
        <v>21.7</v>
      </c>
      <c r="O14" s="62"/>
    </row>
    <row r="15" spans="1:33" ht="14.45" customHeight="1" thickBot="1" x14ac:dyDescent="0.3">
      <c r="A15" s="81"/>
      <c r="B15" s="84"/>
      <c r="C15" s="29">
        <v>2590</v>
      </c>
      <c r="D15" s="20">
        <f t="shared" si="0"/>
        <v>15.121189529302582</v>
      </c>
      <c r="E15" s="20">
        <v>0.13600000000000001</v>
      </c>
      <c r="F15" s="44">
        <v>21.2</v>
      </c>
      <c r="G15" s="29">
        <v>1907.7</v>
      </c>
      <c r="H15" s="20">
        <f t="shared" si="1"/>
        <v>2.5794626864901287</v>
      </c>
      <c r="I15" s="20">
        <v>0.03</v>
      </c>
      <c r="J15" s="44">
        <v>21.4</v>
      </c>
      <c r="K15" s="29">
        <v>1914.6</v>
      </c>
      <c r="L15" s="20">
        <f t="shared" si="2"/>
        <v>2.6889921269584987</v>
      </c>
      <c r="M15" s="20">
        <v>0</v>
      </c>
      <c r="N15" s="44">
        <v>21.6</v>
      </c>
      <c r="O15" s="63"/>
    </row>
    <row r="16" spans="1:33" x14ac:dyDescent="0.25">
      <c r="A16" s="79" t="s">
        <v>18</v>
      </c>
      <c r="B16" s="82">
        <v>296</v>
      </c>
      <c r="C16" s="27">
        <v>2313.6999999999998</v>
      </c>
      <c r="D16" s="19">
        <f t="shared" si="0"/>
        <v>9.558336609649297</v>
      </c>
      <c r="E16" s="19">
        <v>7.8E-2</v>
      </c>
      <c r="F16" s="42">
        <v>21.7</v>
      </c>
      <c r="G16" s="27">
        <v>1824</v>
      </c>
      <c r="H16" s="19">
        <f t="shared" si="1"/>
        <v>1.3516903675811371</v>
      </c>
      <c r="I16" s="19">
        <v>0</v>
      </c>
      <c r="J16" s="42">
        <v>21.6</v>
      </c>
      <c r="K16" s="27">
        <v>1876.9</v>
      </c>
      <c r="L16" s="19">
        <f t="shared" si="2"/>
        <v>2.1036540901041159</v>
      </c>
      <c r="M16" s="19">
        <v>0</v>
      </c>
      <c r="N16" s="42">
        <v>21.3</v>
      </c>
      <c r="O16" s="61"/>
    </row>
    <row r="17" spans="1:15" x14ac:dyDescent="0.25">
      <c r="A17" s="80"/>
      <c r="B17" s="83"/>
      <c r="C17" s="28">
        <v>2479.9</v>
      </c>
      <c r="D17" s="4">
        <f t="shared" si="0"/>
        <v>12.684865269618699</v>
      </c>
      <c r="E17" s="4">
        <v>8.6999999999999994E-2</v>
      </c>
      <c r="F17" s="43">
        <v>21.5</v>
      </c>
      <c r="G17" s="28">
        <v>1823.7</v>
      </c>
      <c r="H17" s="4">
        <f t="shared" si="1"/>
        <v>1.3477184889410883</v>
      </c>
      <c r="I17" s="4">
        <v>0</v>
      </c>
      <c r="J17" s="43">
        <v>21.6</v>
      </c>
      <c r="K17" s="28">
        <v>1868.5</v>
      </c>
      <c r="L17" s="4">
        <f t="shared" si="2"/>
        <v>1.9781486233954804</v>
      </c>
      <c r="M17" s="4">
        <v>0</v>
      </c>
      <c r="N17" s="43">
        <v>21.3</v>
      </c>
      <c r="O17" s="62"/>
    </row>
    <row r="18" spans="1:15" ht="15.75" thickBot="1" x14ac:dyDescent="0.3">
      <c r="A18" s="81"/>
      <c r="B18" s="84"/>
      <c r="C18" s="29">
        <v>2421</v>
      </c>
      <c r="D18" s="20">
        <f t="shared" si="0"/>
        <v>11.525096818265704</v>
      </c>
      <c r="E18" s="20">
        <v>9.8000000000000004E-2</v>
      </c>
      <c r="F18" s="44">
        <v>21.4</v>
      </c>
      <c r="G18" s="29">
        <v>1823.5</v>
      </c>
      <c r="H18" s="20">
        <f t="shared" si="1"/>
        <v>1.3450726557633161</v>
      </c>
      <c r="I18" s="20">
        <v>0</v>
      </c>
      <c r="J18" s="44">
        <v>21.7</v>
      </c>
      <c r="K18" s="29">
        <v>1860.4</v>
      </c>
      <c r="L18" s="20">
        <f t="shared" si="2"/>
        <v>1.8590983261067107</v>
      </c>
      <c r="M18" s="20">
        <v>0</v>
      </c>
      <c r="N18" s="44">
        <v>21.3</v>
      </c>
      <c r="O18" s="63"/>
    </row>
    <row r="19" spans="1:15" x14ac:dyDescent="0.25">
      <c r="A19" s="79" t="s">
        <v>19</v>
      </c>
      <c r="B19" s="82">
        <v>297</v>
      </c>
      <c r="C19" s="27">
        <v>2396.1999999999998</v>
      </c>
      <c r="D19" s="19">
        <f t="shared" si="0"/>
        <v>11.057085901641639</v>
      </c>
      <c r="E19" s="19">
        <v>6.7000000000000004E-2</v>
      </c>
      <c r="F19" s="42">
        <v>23.5</v>
      </c>
      <c r="G19" s="27">
        <v>1825.5</v>
      </c>
      <c r="H19" s="19">
        <f t="shared" si="1"/>
        <v>1.3716058092146144</v>
      </c>
      <c r="I19" s="19">
        <v>0</v>
      </c>
      <c r="J19" s="42">
        <v>21.8</v>
      </c>
      <c r="K19" s="27">
        <v>1963.9</v>
      </c>
      <c r="L19" s="19">
        <f t="shared" si="2"/>
        <v>3.4952815682677749</v>
      </c>
      <c r="M19" s="19">
        <v>0</v>
      </c>
      <c r="N19" s="42">
        <v>21</v>
      </c>
      <c r="O19" s="61"/>
    </row>
    <row r="20" spans="1:15" x14ac:dyDescent="0.25">
      <c r="A20" s="80"/>
      <c r="B20" s="83"/>
      <c r="C20" s="28">
        <v>2418.1</v>
      </c>
      <c r="D20" s="4">
        <f t="shared" si="0"/>
        <v>11.469830902724189</v>
      </c>
      <c r="E20" s="4">
        <v>7.5999999999999998E-2</v>
      </c>
      <c r="F20" s="43">
        <v>23.3</v>
      </c>
      <c r="G20" s="28">
        <v>1825.9</v>
      </c>
      <c r="H20" s="4">
        <f t="shared" si="1"/>
        <v>1.3769322864794555</v>
      </c>
      <c r="I20" s="4">
        <v>0</v>
      </c>
      <c r="J20" s="43">
        <v>22.7</v>
      </c>
      <c r="K20" s="28">
        <v>1868.5</v>
      </c>
      <c r="L20" s="4">
        <f t="shared" si="2"/>
        <v>1.9781486233954804</v>
      </c>
      <c r="M20" s="4">
        <v>0</v>
      </c>
      <c r="N20" s="43">
        <v>21.1</v>
      </c>
      <c r="O20" s="62"/>
    </row>
    <row r="21" spans="1:15" ht="15.75" thickBot="1" x14ac:dyDescent="0.3">
      <c r="A21" s="81"/>
      <c r="B21" s="84"/>
      <c r="C21" s="29">
        <v>2344.9</v>
      </c>
      <c r="D21" s="20">
        <f t="shared" si="0"/>
        <v>10.11671397048061</v>
      </c>
      <c r="E21" s="20">
        <v>7.4999999999999997E-2</v>
      </c>
      <c r="F21" s="44">
        <v>23.2</v>
      </c>
      <c r="G21" s="29">
        <v>1826.7</v>
      </c>
      <c r="H21" s="20">
        <f t="shared" si="1"/>
        <v>1.3876049341210395</v>
      </c>
      <c r="I21" s="20">
        <v>0</v>
      </c>
      <c r="J21" s="44">
        <v>21.6</v>
      </c>
      <c r="K21" s="29">
        <v>1843.3</v>
      </c>
      <c r="L21" s="20">
        <f t="shared" si="2"/>
        <v>1.614736522586639</v>
      </c>
      <c r="M21" s="20">
        <v>0</v>
      </c>
      <c r="N21" s="44">
        <v>21.2</v>
      </c>
      <c r="O21" s="63"/>
    </row>
    <row r="22" spans="1:15" x14ac:dyDescent="0.25">
      <c r="A22" s="79" t="s">
        <v>20</v>
      </c>
      <c r="B22" s="82">
        <v>298</v>
      </c>
      <c r="C22" s="27">
        <v>2244.6999999999998</v>
      </c>
      <c r="D22" s="19">
        <f t="shared" si="0"/>
        <v>8.3449552163836067</v>
      </c>
      <c r="E22" s="19">
        <v>6.0999999999999999E-2</v>
      </c>
      <c r="F22" s="42">
        <v>23.1</v>
      </c>
      <c r="G22" s="27">
        <v>1822.3</v>
      </c>
      <c r="H22" s="19">
        <f t="shared" si="1"/>
        <v>1.3292328440896251</v>
      </c>
      <c r="I22" s="19">
        <v>0</v>
      </c>
      <c r="J22" s="42">
        <v>22.1</v>
      </c>
      <c r="K22" s="27">
        <v>1848.8</v>
      </c>
      <c r="L22" s="19">
        <f t="shared" si="2"/>
        <v>1.6922465322677762</v>
      </c>
      <c r="M22" s="19">
        <v>0</v>
      </c>
      <c r="N22" s="42">
        <v>21.4</v>
      </c>
      <c r="O22" s="61"/>
    </row>
    <row r="23" spans="1:15" x14ac:dyDescent="0.25">
      <c r="A23" s="80"/>
      <c r="B23" s="83"/>
      <c r="C23" s="28">
        <v>2319.5</v>
      </c>
      <c r="D23" s="4">
        <f t="shared" si="0"/>
        <v>9.6615373185870848</v>
      </c>
      <c r="E23" s="4">
        <v>5.1999999999999998E-2</v>
      </c>
      <c r="F23" s="43">
        <v>23.1</v>
      </c>
      <c r="G23" s="28">
        <v>1822.4</v>
      </c>
      <c r="H23" s="4">
        <f t="shared" si="1"/>
        <v>1.3305505172354408</v>
      </c>
      <c r="I23" s="4">
        <v>0</v>
      </c>
      <c r="J23" s="43">
        <v>22.2</v>
      </c>
      <c r="K23" s="28">
        <v>1839.4</v>
      </c>
      <c r="L23" s="4">
        <f t="shared" si="2"/>
        <v>1.5604334024413631</v>
      </c>
      <c r="M23" s="4">
        <v>0</v>
      </c>
      <c r="N23" s="43">
        <v>21.5</v>
      </c>
      <c r="O23" s="62"/>
    </row>
    <row r="24" spans="1:15" ht="15.75" thickBot="1" x14ac:dyDescent="0.3">
      <c r="A24" s="81"/>
      <c r="B24" s="84"/>
      <c r="C24" s="29">
        <v>2324.8000000000002</v>
      </c>
      <c r="D24" s="20">
        <f t="shared" si="0"/>
        <v>9.7560641955904952</v>
      </c>
      <c r="E24" s="20">
        <v>7.0999999999999994E-2</v>
      </c>
      <c r="F24" s="44">
        <v>23.1</v>
      </c>
      <c r="G24" s="29">
        <v>1821.7</v>
      </c>
      <c r="H24" s="20">
        <f t="shared" si="1"/>
        <v>1.321335667923798</v>
      </c>
      <c r="I24" s="20">
        <v>0</v>
      </c>
      <c r="J24" s="44">
        <v>22.5</v>
      </c>
      <c r="K24" s="29">
        <v>1851.7</v>
      </c>
      <c r="L24" s="20">
        <f t="shared" si="2"/>
        <v>1.7335394320017237</v>
      </c>
      <c r="M24" s="20">
        <v>0</v>
      </c>
      <c r="N24" s="44">
        <v>21.9</v>
      </c>
      <c r="O24" s="63"/>
    </row>
    <row r="25" spans="1:15" x14ac:dyDescent="0.25">
      <c r="A25" s="79" t="s">
        <v>21</v>
      </c>
      <c r="B25" s="82">
        <v>299</v>
      </c>
      <c r="C25" s="27">
        <v>2286.9</v>
      </c>
      <c r="D25" s="19">
        <f t="shared" si="0"/>
        <v>9.0843461306383606</v>
      </c>
      <c r="E25" s="19">
        <v>6.8000000000000005E-2</v>
      </c>
      <c r="F25" s="42">
        <v>22.9</v>
      </c>
      <c r="G25" s="27">
        <v>1827.2</v>
      </c>
      <c r="H25" s="19">
        <f t="shared" si="1"/>
        <v>1.3942886178098719</v>
      </c>
      <c r="I25" s="19">
        <v>0</v>
      </c>
      <c r="J25" s="42">
        <v>21.8</v>
      </c>
      <c r="K25" s="27">
        <v>1838</v>
      </c>
      <c r="L25" s="19">
        <f t="shared" si="2"/>
        <v>1.5410769559068207</v>
      </c>
      <c r="M25" s="19">
        <v>0</v>
      </c>
      <c r="N25" s="42">
        <v>21</v>
      </c>
      <c r="O25" s="61"/>
    </row>
    <row r="26" spans="1:15" x14ac:dyDescent="0.25">
      <c r="A26" s="80"/>
      <c r="B26" s="83"/>
      <c r="C26" s="28">
        <v>2235.8000000000002</v>
      </c>
      <c r="D26" s="4">
        <f t="shared" si="0"/>
        <v>8.1897376537104112</v>
      </c>
      <c r="E26" s="4">
        <v>5.5E-2</v>
      </c>
      <c r="F26" s="43">
        <v>23</v>
      </c>
      <c r="G26" s="28">
        <v>1825.7</v>
      </c>
      <c r="H26" s="4">
        <f t="shared" si="1"/>
        <v>1.3742682253075555</v>
      </c>
      <c r="I26" s="4">
        <v>0</v>
      </c>
      <c r="J26" s="43">
        <v>22.1</v>
      </c>
      <c r="K26" s="28">
        <v>1843.9</v>
      </c>
      <c r="L26" s="4">
        <f t="shared" si="2"/>
        <v>1.6231399546766689</v>
      </c>
      <c r="M26" s="4">
        <v>0</v>
      </c>
      <c r="N26" s="43">
        <v>21.2</v>
      </c>
      <c r="O26" s="62"/>
    </row>
    <row r="27" spans="1:15" ht="15.75" thickBot="1" x14ac:dyDescent="0.3">
      <c r="A27" s="81"/>
      <c r="B27" s="84"/>
      <c r="C27" s="29">
        <v>2211.6999999999998</v>
      </c>
      <c r="D27" s="20">
        <f t="shared" si="0"/>
        <v>7.7701827273407327</v>
      </c>
      <c r="E27" s="20">
        <v>4.9000000000000002E-2</v>
      </c>
      <c r="F27" s="44">
        <v>23.1</v>
      </c>
      <c r="G27" s="29">
        <v>1821.8</v>
      </c>
      <c r="H27" s="20">
        <f t="shared" si="1"/>
        <v>1.3226508073450742</v>
      </c>
      <c r="I27" s="20">
        <v>0</v>
      </c>
      <c r="J27" s="44">
        <v>22.3</v>
      </c>
      <c r="K27" s="29">
        <v>1845</v>
      </c>
      <c r="L27" s="20">
        <f t="shared" si="2"/>
        <v>1.6385797754912808</v>
      </c>
      <c r="M27" s="20">
        <v>0</v>
      </c>
      <c r="N27" s="44">
        <v>21.5</v>
      </c>
      <c r="O27" s="63"/>
    </row>
    <row r="28" spans="1:15" x14ac:dyDescent="0.25">
      <c r="A28" s="79" t="s">
        <v>22</v>
      </c>
      <c r="B28" s="82">
        <v>300</v>
      </c>
      <c r="C28" s="45">
        <v>2223.4</v>
      </c>
      <c r="D28" s="19">
        <f t="shared" si="0"/>
        <v>7.9737519932387997</v>
      </c>
      <c r="E28" s="22">
        <v>5.7000000000000002E-2</v>
      </c>
      <c r="F28" s="46">
        <v>26.4</v>
      </c>
      <c r="G28" s="45">
        <v>1816.6</v>
      </c>
      <c r="H28" s="19">
        <f t="shared" si="1"/>
        <v>1.2548317014445478</v>
      </c>
      <c r="I28" s="22">
        <v>0</v>
      </c>
      <c r="J28" s="46">
        <v>25.9</v>
      </c>
      <c r="K28" s="45">
        <v>1840.4</v>
      </c>
      <c r="L28" s="19">
        <f t="shared" si="2"/>
        <v>1.5743040665009742</v>
      </c>
      <c r="M28" s="22">
        <v>0</v>
      </c>
      <c r="N28" s="46">
        <v>24.9</v>
      </c>
      <c r="O28" s="61"/>
    </row>
    <row r="29" spans="1:15" x14ac:dyDescent="0.25">
      <c r="A29" s="80"/>
      <c r="B29" s="83"/>
      <c r="C29" s="47">
        <v>2223.6999999999998</v>
      </c>
      <c r="D29" s="4">
        <f t="shared" si="0"/>
        <v>7.97897427681509</v>
      </c>
      <c r="E29" s="5">
        <v>6.7000000000000004E-2</v>
      </c>
      <c r="F29" s="48">
        <v>26.4</v>
      </c>
      <c r="G29" s="47">
        <v>1818.8</v>
      </c>
      <c r="H29" s="4">
        <f t="shared" si="1"/>
        <v>1.2833820253876882</v>
      </c>
      <c r="I29" s="5">
        <v>0</v>
      </c>
      <c r="J29" s="48">
        <v>26</v>
      </c>
      <c r="K29" s="47">
        <v>1841.7</v>
      </c>
      <c r="L29" s="4">
        <f t="shared" si="2"/>
        <v>1.5923910159920112</v>
      </c>
      <c r="M29" s="5">
        <v>0</v>
      </c>
      <c r="N29" s="48">
        <v>25.1</v>
      </c>
      <c r="O29" s="62"/>
    </row>
    <row r="30" spans="1:15" ht="15.75" thickBot="1" x14ac:dyDescent="0.3">
      <c r="A30" s="81"/>
      <c r="B30" s="84"/>
      <c r="C30" s="49">
        <v>2289.5</v>
      </c>
      <c r="D30" s="20">
        <f t="shared" si="0"/>
        <v>9.130147696253804</v>
      </c>
      <c r="E30" s="23">
        <v>6.7000000000000004E-2</v>
      </c>
      <c r="F30" s="50">
        <v>26.4</v>
      </c>
      <c r="G30" s="49">
        <v>1818.4</v>
      </c>
      <c r="H30" s="20">
        <f t="shared" si="1"/>
        <v>1.2781753996175795</v>
      </c>
      <c r="I30" s="23">
        <v>0</v>
      </c>
      <c r="J30" s="50">
        <v>26.2</v>
      </c>
      <c r="K30" s="49">
        <v>1834.8</v>
      </c>
      <c r="L30" s="20">
        <f t="shared" si="2"/>
        <v>1.4971112643796316</v>
      </c>
      <c r="M30" s="23">
        <v>0</v>
      </c>
      <c r="N30" s="50">
        <v>25.4</v>
      </c>
      <c r="O30" s="63"/>
    </row>
    <row r="31" spans="1:15" x14ac:dyDescent="0.25">
      <c r="A31" s="88" t="s">
        <v>23</v>
      </c>
      <c r="B31" s="90">
        <v>301</v>
      </c>
      <c r="C31" s="31">
        <v>2186.4</v>
      </c>
      <c r="D31" s="18">
        <f t="shared" si="0"/>
        <v>7.330448874790771</v>
      </c>
      <c r="E31" s="18">
        <v>4.2000000000000003E-2</v>
      </c>
      <c r="F31" s="51">
        <v>24.4</v>
      </c>
      <c r="G31" s="31">
        <v>1824</v>
      </c>
      <c r="H31" s="18">
        <f t="shared" si="1"/>
        <v>1.3516903675811371</v>
      </c>
      <c r="I31" s="18">
        <v>0</v>
      </c>
      <c r="J31" s="51">
        <v>23.5</v>
      </c>
      <c r="K31" s="31">
        <v>1843.2</v>
      </c>
      <c r="L31" s="18">
        <f t="shared" si="2"/>
        <v>1.6133372114246911</v>
      </c>
      <c r="M31" s="18">
        <v>0</v>
      </c>
      <c r="N31" s="51">
        <v>22.4</v>
      </c>
      <c r="O31" s="64"/>
    </row>
    <row r="32" spans="1:15" x14ac:dyDescent="0.25">
      <c r="A32" s="80"/>
      <c r="B32" s="83"/>
      <c r="C32" s="28">
        <v>2235.6999999999998</v>
      </c>
      <c r="D32" s="4">
        <f t="shared" si="0"/>
        <v>8.1879946500865888</v>
      </c>
      <c r="E32" s="4">
        <v>7.5999999999999998E-2</v>
      </c>
      <c r="F32" s="43">
        <v>24.2</v>
      </c>
      <c r="G32" s="28">
        <v>1828.3</v>
      </c>
      <c r="H32" s="4">
        <f t="shared" si="1"/>
        <v>1.4090284677057239</v>
      </c>
      <c r="I32" s="4">
        <v>0</v>
      </c>
      <c r="J32" s="43">
        <v>23.7</v>
      </c>
      <c r="K32" s="28">
        <v>1846.2</v>
      </c>
      <c r="L32" s="4">
        <f t="shared" si="2"/>
        <v>1.6554723373084195</v>
      </c>
      <c r="M32" s="4">
        <v>0</v>
      </c>
      <c r="N32" s="43">
        <v>22.8</v>
      </c>
      <c r="O32" s="62"/>
    </row>
    <row r="33" spans="1:15" ht="15.75" thickBot="1" x14ac:dyDescent="0.3">
      <c r="A33" s="89"/>
      <c r="B33" s="91"/>
      <c r="C33" s="33">
        <v>2248.4</v>
      </c>
      <c r="D33" s="34">
        <f t="shared" si="0"/>
        <v>8.4095412409585091</v>
      </c>
      <c r="E33" s="34">
        <v>5.0999999999999997E-2</v>
      </c>
      <c r="F33" s="52">
        <v>24</v>
      </c>
      <c r="G33" s="33">
        <v>1825.8</v>
      </c>
      <c r="H33" s="34">
        <f t="shared" si="1"/>
        <v>1.3756000504082753</v>
      </c>
      <c r="I33" s="34">
        <v>0</v>
      </c>
      <c r="J33" s="52">
        <v>24</v>
      </c>
      <c r="K33" s="33">
        <v>1838.9</v>
      </c>
      <c r="L33" s="34">
        <f t="shared" si="2"/>
        <v>1.5535119859330397</v>
      </c>
      <c r="M33" s="34">
        <v>0</v>
      </c>
      <c r="N33" s="52">
        <v>23</v>
      </c>
      <c r="O33" s="65"/>
    </row>
    <row r="34" spans="1:15" x14ac:dyDescent="0.25">
      <c r="A34" s="55" t="s">
        <v>43</v>
      </c>
      <c r="B34" s="58">
        <v>305</v>
      </c>
      <c r="C34" s="36">
        <v>2012.6</v>
      </c>
      <c r="D34" s="37">
        <f t="shared" si="0"/>
        <v>4.3198463562223148</v>
      </c>
      <c r="E34" s="37">
        <v>2.1999999999999999E-2</v>
      </c>
      <c r="F34" s="32">
        <v>22.2</v>
      </c>
      <c r="G34" s="36">
        <v>1817.3</v>
      </c>
      <c r="H34" s="37">
        <f t="shared" si="1"/>
        <v>1.263893001412369</v>
      </c>
      <c r="I34" s="37">
        <v>0</v>
      </c>
      <c r="J34" s="32">
        <v>21.9</v>
      </c>
      <c r="K34" s="36">
        <v>1846.4</v>
      </c>
      <c r="L34" s="37">
        <f t="shared" si="2"/>
        <v>1.6582927157401892</v>
      </c>
      <c r="M34" s="37">
        <v>0</v>
      </c>
      <c r="N34" s="32">
        <v>20.3</v>
      </c>
      <c r="O34" s="61" t="s">
        <v>44</v>
      </c>
    </row>
    <row r="35" spans="1:15" x14ac:dyDescent="0.25">
      <c r="A35" s="56"/>
      <c r="B35" s="59"/>
      <c r="C35" s="38">
        <v>2092.8000000000002</v>
      </c>
      <c r="D35" s="35">
        <f t="shared" si="0"/>
        <v>5.7048675196220593</v>
      </c>
      <c r="E35" s="35">
        <v>0.03</v>
      </c>
      <c r="F35" s="25">
        <v>22.3</v>
      </c>
      <c r="G35" s="38">
        <v>1817.4</v>
      </c>
      <c r="H35" s="35">
        <f t="shared" si="1"/>
        <v>1.2651892229427788</v>
      </c>
      <c r="I35" s="35">
        <v>0</v>
      </c>
      <c r="J35" s="25">
        <v>22</v>
      </c>
      <c r="K35" s="38">
        <v>1845.6</v>
      </c>
      <c r="L35" s="35">
        <f t="shared" si="2"/>
        <v>1.6470196771691714</v>
      </c>
      <c r="M35" s="35">
        <v>0</v>
      </c>
      <c r="N35" s="25">
        <v>20.5</v>
      </c>
      <c r="O35" s="62"/>
    </row>
    <row r="36" spans="1:15" ht="15.75" thickBot="1" x14ac:dyDescent="0.3">
      <c r="A36" s="57"/>
      <c r="B36" s="60"/>
      <c r="C36" s="39">
        <v>2084.5</v>
      </c>
      <c r="D36" s="40">
        <f t="shared" si="0"/>
        <v>5.560852959134122</v>
      </c>
      <c r="E36" s="40">
        <v>2.9000000000000001E-2</v>
      </c>
      <c r="F36" s="26">
        <v>22.3</v>
      </c>
      <c r="G36" s="39">
        <v>1821.6</v>
      </c>
      <c r="H36" s="40">
        <f t="shared" si="1"/>
        <v>1.320020951855958</v>
      </c>
      <c r="I36" s="40">
        <v>0</v>
      </c>
      <c r="J36" s="26">
        <v>22.1</v>
      </c>
      <c r="K36" s="39">
        <v>1838.7</v>
      </c>
      <c r="L36" s="40">
        <f t="shared" si="2"/>
        <v>1.5507460280299394</v>
      </c>
      <c r="M36" s="40">
        <v>0</v>
      </c>
      <c r="N36" s="26">
        <v>20.7</v>
      </c>
      <c r="O36" s="63"/>
    </row>
  </sheetData>
  <mergeCells count="43">
    <mergeCell ref="AA2:AC2"/>
    <mergeCell ref="AE2:AG2"/>
    <mergeCell ref="O10:O12"/>
    <mergeCell ref="A25:A27"/>
    <mergeCell ref="B25:B27"/>
    <mergeCell ref="O13:O15"/>
    <mergeCell ref="O16:O18"/>
    <mergeCell ref="O19:O21"/>
    <mergeCell ref="O22:O24"/>
    <mergeCell ref="O25:O27"/>
    <mergeCell ref="A10:A12"/>
    <mergeCell ref="B10:B12"/>
    <mergeCell ref="A13:A15"/>
    <mergeCell ref="B13:B15"/>
    <mergeCell ref="W2:Y2"/>
    <mergeCell ref="A1:O1"/>
    <mergeCell ref="O4:O6"/>
    <mergeCell ref="O7:O9"/>
    <mergeCell ref="C2:F2"/>
    <mergeCell ref="G2:J2"/>
    <mergeCell ref="K2:N2"/>
    <mergeCell ref="A4:A6"/>
    <mergeCell ref="B4:B6"/>
    <mergeCell ref="A2:A3"/>
    <mergeCell ref="B2:B3"/>
    <mergeCell ref="A7:A9"/>
    <mergeCell ref="B7:B9"/>
    <mergeCell ref="A34:A36"/>
    <mergeCell ref="B34:B36"/>
    <mergeCell ref="O34:O36"/>
    <mergeCell ref="O31:O33"/>
    <mergeCell ref="O2:O3"/>
    <mergeCell ref="A31:A33"/>
    <mergeCell ref="B31:B33"/>
    <mergeCell ref="O28:O30"/>
    <mergeCell ref="A19:A21"/>
    <mergeCell ref="A22:A24"/>
    <mergeCell ref="B16:B18"/>
    <mergeCell ref="B19:B21"/>
    <mergeCell ref="B22:B24"/>
    <mergeCell ref="A16:A18"/>
    <mergeCell ref="A28:A30"/>
    <mergeCell ref="B28:B30"/>
  </mergeCells>
  <phoneticPr fontId="3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5EB0-D2D9-4616-A71D-19D5E41BB856}">
  <dimension ref="A1:G23"/>
  <sheetViews>
    <sheetView topLeftCell="A2" workbookViewId="0">
      <selection activeCell="F37" sqref="F37"/>
    </sheetView>
  </sheetViews>
  <sheetFormatPr defaultRowHeight="15" x14ac:dyDescent="0.25"/>
  <cols>
    <col min="2" max="2" width="9.140625" style="10"/>
    <col min="3" max="3" width="9.140625" style="11"/>
    <col min="5" max="5" width="9.140625" style="10"/>
    <col min="6" max="6" width="9.140625" style="11"/>
  </cols>
  <sheetData>
    <row r="1" spans="1:7" x14ac:dyDescent="0.25">
      <c r="B1" s="7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33</v>
      </c>
      <c r="B2" s="7">
        <v>4.221679400275832</v>
      </c>
      <c r="C2" s="97">
        <v>0</v>
      </c>
      <c r="D2" s="1">
        <v>0.1</v>
      </c>
      <c r="E2" s="7">
        <v>1.3810494745880304</v>
      </c>
      <c r="F2" s="97">
        <v>0</v>
      </c>
      <c r="G2" s="1">
        <v>0.1</v>
      </c>
    </row>
    <row r="3" spans="1:7" x14ac:dyDescent="0.25">
      <c r="A3" t="s">
        <v>34</v>
      </c>
      <c r="B3" s="7">
        <v>4.0445056798953045</v>
      </c>
      <c r="C3" s="97">
        <v>0</v>
      </c>
      <c r="D3" s="1">
        <v>0.1</v>
      </c>
      <c r="E3" s="7">
        <v>1.2917286674721311</v>
      </c>
      <c r="F3" s="97">
        <v>0</v>
      </c>
      <c r="G3" s="1">
        <v>0.1</v>
      </c>
    </row>
    <row r="4" spans="1:7" x14ac:dyDescent="0.25">
      <c r="A4" t="s">
        <v>35</v>
      </c>
      <c r="B4" s="7">
        <v>3.9131082495848957</v>
      </c>
      <c r="C4" s="97">
        <v>0</v>
      </c>
      <c r="D4" s="1">
        <v>0.1</v>
      </c>
      <c r="E4" s="7">
        <v>1.2908164445643098</v>
      </c>
      <c r="F4" s="97">
        <v>0</v>
      </c>
      <c r="G4" s="1">
        <v>0.1</v>
      </c>
    </row>
    <row r="5" spans="1:7" x14ac:dyDescent="0.25">
      <c r="A5" t="s">
        <v>36</v>
      </c>
      <c r="B5" s="7">
        <v>14.302879847937115</v>
      </c>
      <c r="C5" s="97">
        <v>0.11733333333333333</v>
      </c>
      <c r="D5" s="1">
        <v>0.1</v>
      </c>
      <c r="E5" s="7">
        <v>2.7401403632777335</v>
      </c>
      <c r="F5" s="97">
        <v>2.7333333333333334E-2</v>
      </c>
      <c r="G5" s="1">
        <v>0.1</v>
      </c>
    </row>
    <row r="6" spans="1:7" x14ac:dyDescent="0.25">
      <c r="A6" t="s">
        <v>37</v>
      </c>
      <c r="B6" s="7">
        <v>11.256099565844567</v>
      </c>
      <c r="C6" s="97">
        <v>8.7666666666666671E-2</v>
      </c>
      <c r="D6" s="1">
        <v>0.1</v>
      </c>
      <c r="E6" s="7">
        <v>1.3481605040951805</v>
      </c>
      <c r="F6" s="97">
        <v>0</v>
      </c>
      <c r="G6" s="1">
        <v>0.1</v>
      </c>
    </row>
    <row r="7" spans="1:7" x14ac:dyDescent="0.25">
      <c r="A7" t="s">
        <v>38</v>
      </c>
      <c r="B7" s="7">
        <v>10.881210258282145</v>
      </c>
      <c r="C7" s="97">
        <v>7.2666666666666671E-2</v>
      </c>
      <c r="D7" s="1">
        <v>0.1</v>
      </c>
      <c r="E7" s="7">
        <v>1.3787143432717031</v>
      </c>
      <c r="F7" s="97">
        <v>0</v>
      </c>
      <c r="G7" s="1">
        <v>0.1</v>
      </c>
    </row>
    <row r="8" spans="1:7" x14ac:dyDescent="0.25">
      <c r="A8" t="s">
        <v>39</v>
      </c>
      <c r="B8" s="7">
        <v>9.2541855768537289</v>
      </c>
      <c r="C8" s="97">
        <v>6.133333333333333E-2</v>
      </c>
      <c r="D8" s="1">
        <v>0.1</v>
      </c>
      <c r="E8" s="7">
        <v>1.3270396764162879</v>
      </c>
      <c r="F8" s="97">
        <v>0</v>
      </c>
      <c r="G8" s="1">
        <v>0.1</v>
      </c>
    </row>
    <row r="9" spans="1:7" x14ac:dyDescent="0.25">
      <c r="A9" t="s">
        <v>40</v>
      </c>
      <c r="B9" s="7">
        <v>8.3480888372298345</v>
      </c>
      <c r="C9" s="97">
        <v>5.7333333333333326E-2</v>
      </c>
      <c r="D9" s="1">
        <v>0.1</v>
      </c>
      <c r="E9" s="7">
        <v>1.3637358834875009</v>
      </c>
      <c r="F9" s="97">
        <v>0</v>
      </c>
      <c r="G9" s="1">
        <v>0.1</v>
      </c>
    </row>
    <row r="10" spans="1:7" x14ac:dyDescent="0.25">
      <c r="A10" t="s">
        <v>41</v>
      </c>
      <c r="B10" s="7">
        <v>8.3609579887692309</v>
      </c>
      <c r="C10" s="97">
        <v>6.3666666666666663E-2</v>
      </c>
      <c r="D10" s="1">
        <v>0.1</v>
      </c>
      <c r="E10" s="7">
        <v>1.2721297088166053</v>
      </c>
      <c r="F10" s="97">
        <v>0</v>
      </c>
      <c r="G10" s="1">
        <v>0.1</v>
      </c>
    </row>
    <row r="11" spans="1:7" x14ac:dyDescent="0.25">
      <c r="A11" t="s">
        <v>45</v>
      </c>
      <c r="B11" s="7">
        <v>7.975994921945289</v>
      </c>
      <c r="C11" s="97">
        <v>5.6333333333333326E-2</v>
      </c>
      <c r="D11" s="1">
        <v>0.1</v>
      </c>
      <c r="E11" s="7">
        <v>1.3787729618983786</v>
      </c>
      <c r="F11" s="97">
        <v>0</v>
      </c>
      <c r="G11" s="1">
        <v>0.1</v>
      </c>
    </row>
    <row r="12" spans="1:7" x14ac:dyDescent="0.25">
      <c r="A12" t="s">
        <v>46</v>
      </c>
      <c r="B12" s="7">
        <v>5.1951889449928315</v>
      </c>
      <c r="C12" s="97">
        <v>2.7E-2</v>
      </c>
      <c r="D12" s="1">
        <v>0.1</v>
      </c>
      <c r="E12" s="7">
        <v>1.2830343920703686</v>
      </c>
      <c r="F12" s="97">
        <v>0</v>
      </c>
      <c r="G12" s="1">
        <v>0.1</v>
      </c>
    </row>
    <row r="13" spans="1:7" x14ac:dyDescent="0.25">
      <c r="B13" s="15"/>
      <c r="C13" s="16"/>
      <c r="D13" s="14"/>
      <c r="E13" s="15"/>
      <c r="F13" s="16"/>
      <c r="G13" s="14"/>
    </row>
    <row r="14" spans="1:7" x14ac:dyDescent="0.25">
      <c r="B14" s="15"/>
      <c r="C14" s="16"/>
      <c r="D14" s="14"/>
      <c r="E14" s="15"/>
      <c r="F14" s="16"/>
      <c r="G14" s="14"/>
    </row>
    <row r="15" spans="1:7" x14ac:dyDescent="0.25">
      <c r="B15" s="15"/>
      <c r="C15" s="16"/>
      <c r="D15" s="14"/>
      <c r="E15" s="15"/>
      <c r="F15" s="16"/>
      <c r="G15" s="14"/>
    </row>
    <row r="16" spans="1:7" x14ac:dyDescent="0.25">
      <c r="B16" s="15"/>
      <c r="C16" s="16"/>
      <c r="D16" s="14"/>
      <c r="E16" s="15"/>
      <c r="F16" s="16"/>
      <c r="G16" s="14"/>
    </row>
    <row r="17" spans="2:7" x14ac:dyDescent="0.25">
      <c r="B17" s="15"/>
      <c r="C17" s="16"/>
      <c r="D17" s="14"/>
      <c r="E17" s="15"/>
      <c r="F17" s="16"/>
      <c r="G17" s="14"/>
    </row>
    <row r="18" spans="2:7" x14ac:dyDescent="0.25">
      <c r="B18" s="15"/>
      <c r="C18" s="16"/>
      <c r="D18" s="14"/>
      <c r="E18" s="15"/>
      <c r="F18" s="16"/>
      <c r="G18" s="14"/>
    </row>
    <row r="19" spans="2:7" x14ac:dyDescent="0.25">
      <c r="B19" s="15"/>
      <c r="C19" s="16"/>
      <c r="D19" s="14"/>
      <c r="E19" s="15"/>
      <c r="F19" s="16"/>
      <c r="G19" s="14"/>
    </row>
    <row r="20" spans="2:7" x14ac:dyDescent="0.25">
      <c r="B20" s="15"/>
      <c r="C20" s="16"/>
      <c r="D20" s="14"/>
      <c r="E20" s="15"/>
      <c r="F20" s="16"/>
      <c r="G20" s="14"/>
    </row>
    <row r="21" spans="2:7" x14ac:dyDescent="0.25">
      <c r="B21" s="15"/>
      <c r="C21" s="16"/>
      <c r="D21" s="14"/>
      <c r="E21" s="15"/>
      <c r="F21" s="16"/>
      <c r="G21" s="14"/>
    </row>
    <row r="22" spans="2:7" x14ac:dyDescent="0.25">
      <c r="B22" s="15"/>
      <c r="C22" s="16"/>
      <c r="D22" s="14"/>
      <c r="E22" s="15"/>
      <c r="F22" s="16"/>
      <c r="G22" s="14"/>
    </row>
    <row r="23" spans="2:7" x14ac:dyDescent="0.25">
      <c r="B23" s="15"/>
      <c r="C23" s="16"/>
      <c r="D23" s="14"/>
      <c r="E23" s="15"/>
      <c r="F23" s="16"/>
      <c r="G23" s="1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7637-680A-4AB0-A1D9-4BBC16E216DD}">
  <dimension ref="A1:G12"/>
  <sheetViews>
    <sheetView workbookViewId="0">
      <selection activeCell="G16" sqref="G16"/>
    </sheetView>
  </sheetViews>
  <sheetFormatPr defaultRowHeight="15" x14ac:dyDescent="0.25"/>
  <sheetData>
    <row r="1" spans="1:7" x14ac:dyDescent="0.25">
      <c r="B1" s="15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</row>
    <row r="2" spans="1:7" x14ac:dyDescent="0.25">
      <c r="A2" t="s">
        <v>33</v>
      </c>
      <c r="B2" s="15">
        <v>4.221679400275832</v>
      </c>
      <c r="C2" s="16">
        <v>0</v>
      </c>
      <c r="D2" s="14">
        <v>0.1</v>
      </c>
      <c r="E2" s="15">
        <v>1.7055981032786545</v>
      </c>
      <c r="F2" s="16">
        <v>0</v>
      </c>
      <c r="G2" s="14">
        <v>0.1</v>
      </c>
    </row>
    <row r="3" spans="1:7" x14ac:dyDescent="0.25">
      <c r="A3" t="s">
        <v>34</v>
      </c>
      <c r="B3" s="15">
        <v>4.0445056798953045</v>
      </c>
      <c r="C3" s="16">
        <v>0</v>
      </c>
      <c r="D3" s="14">
        <v>0.1</v>
      </c>
      <c r="E3" s="15">
        <v>1.7080926868545692</v>
      </c>
      <c r="F3" s="16">
        <v>0</v>
      </c>
      <c r="G3" s="14">
        <v>0.1</v>
      </c>
    </row>
    <row r="4" spans="1:7" x14ac:dyDescent="0.25">
      <c r="A4" t="s">
        <v>35</v>
      </c>
      <c r="B4" s="15">
        <v>3.9131082495848957</v>
      </c>
      <c r="C4" s="16">
        <v>0</v>
      </c>
      <c r="D4" s="14">
        <v>0.1</v>
      </c>
      <c r="E4" s="15">
        <v>1.6390616598129244</v>
      </c>
      <c r="F4" s="16">
        <v>0</v>
      </c>
      <c r="G4" s="14">
        <v>0.1</v>
      </c>
    </row>
    <row r="5" spans="1:7" x14ac:dyDescent="0.25">
      <c r="A5" t="s">
        <v>36</v>
      </c>
      <c r="B5" s="15">
        <v>14.302879847937115</v>
      </c>
      <c r="C5" s="16">
        <v>0.11733333333333333</v>
      </c>
      <c r="D5" s="14">
        <v>0.1</v>
      </c>
      <c r="E5" s="15">
        <v>2.9716141690484235</v>
      </c>
      <c r="F5" s="16">
        <v>0</v>
      </c>
      <c r="G5" s="14">
        <v>0.1</v>
      </c>
    </row>
    <row r="6" spans="1:7" x14ac:dyDescent="0.25">
      <c r="A6" t="s">
        <v>37</v>
      </c>
      <c r="B6" s="15">
        <v>11.256099565844567</v>
      </c>
      <c r="C6" s="16">
        <v>8.7666666666666671E-2</v>
      </c>
      <c r="D6" s="14">
        <v>0.1</v>
      </c>
      <c r="E6" s="15">
        <v>1.9803003465354356</v>
      </c>
      <c r="F6" s="16">
        <v>0</v>
      </c>
      <c r="G6" s="14">
        <v>0.1</v>
      </c>
    </row>
    <row r="7" spans="1:7" x14ac:dyDescent="0.25">
      <c r="A7" t="s">
        <v>38</v>
      </c>
      <c r="B7" s="15">
        <v>10.881210258282145</v>
      </c>
      <c r="C7" s="16">
        <v>7.2666666666666671E-2</v>
      </c>
      <c r="D7" s="14">
        <v>0.1</v>
      </c>
      <c r="E7" s="15">
        <v>2.3627222380832982</v>
      </c>
      <c r="F7" s="16">
        <v>0</v>
      </c>
      <c r="G7" s="14">
        <v>0.1</v>
      </c>
    </row>
    <row r="8" spans="1:7" x14ac:dyDescent="0.25">
      <c r="A8" t="s">
        <v>39</v>
      </c>
      <c r="B8" s="15">
        <v>9.2541855768537289</v>
      </c>
      <c r="C8" s="16">
        <v>6.133333333333333E-2</v>
      </c>
      <c r="D8" s="14">
        <v>0.1</v>
      </c>
      <c r="E8" s="15">
        <v>1.6620731222369542</v>
      </c>
      <c r="F8" s="16">
        <v>0</v>
      </c>
      <c r="G8" s="14">
        <v>0.1</v>
      </c>
    </row>
    <row r="9" spans="1:7" x14ac:dyDescent="0.25">
      <c r="A9" t="s">
        <v>40</v>
      </c>
      <c r="B9" s="15">
        <v>8.3480888372298345</v>
      </c>
      <c r="C9" s="16">
        <v>5.7333333333333326E-2</v>
      </c>
      <c r="D9" s="14">
        <v>0.1</v>
      </c>
      <c r="E9" s="15">
        <v>1.6009322286915901</v>
      </c>
      <c r="F9" s="16">
        <v>0</v>
      </c>
      <c r="G9" s="14">
        <v>0.1</v>
      </c>
    </row>
    <row r="10" spans="1:7" x14ac:dyDescent="0.25">
      <c r="A10" t="s">
        <v>41</v>
      </c>
      <c r="B10" s="15">
        <v>8.3609579887692309</v>
      </c>
      <c r="C10" s="16">
        <v>6.3666666666666663E-2</v>
      </c>
      <c r="D10" s="14">
        <v>0.1</v>
      </c>
      <c r="E10" s="15">
        <v>1.5546021156242056</v>
      </c>
      <c r="F10" s="16">
        <v>0</v>
      </c>
      <c r="G10" s="14">
        <v>0.1</v>
      </c>
    </row>
    <row r="11" spans="1:7" x14ac:dyDescent="0.25">
      <c r="A11" t="s">
        <v>45</v>
      </c>
      <c r="B11" s="15">
        <v>7.975994921945289</v>
      </c>
      <c r="C11" s="16">
        <v>5.6333333333333326E-2</v>
      </c>
      <c r="D11" s="14">
        <v>0.1</v>
      </c>
      <c r="E11" s="15">
        <v>1.6074405115553834</v>
      </c>
      <c r="F11" s="16">
        <v>0</v>
      </c>
      <c r="G11" s="14">
        <v>0.1</v>
      </c>
    </row>
    <row r="12" spans="1:7" x14ac:dyDescent="0.25">
      <c r="A12" t="s">
        <v>46</v>
      </c>
      <c r="B12" s="15">
        <v>5.1951889449928315</v>
      </c>
      <c r="C12" s="16">
        <v>2.7E-2</v>
      </c>
      <c r="D12" s="14">
        <v>0.1</v>
      </c>
      <c r="E12" s="15">
        <v>1.6186861403131001</v>
      </c>
      <c r="F12" s="16">
        <v>0</v>
      </c>
      <c r="G12" s="1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Summery</vt:lpstr>
      <vt:lpstr>Soil_Leaves</vt:lpstr>
      <vt:lpstr>Soil_WoodChips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Ishfaq Aziz</dc:creator>
  <cp:keywords/>
  <dc:description/>
  <cp:lastModifiedBy>Wang, Zixin</cp:lastModifiedBy>
  <cp:revision/>
  <dcterms:created xsi:type="dcterms:W3CDTF">2015-06-05T18:17:20Z</dcterms:created>
  <dcterms:modified xsi:type="dcterms:W3CDTF">2025-10-04T16:32:14Z</dcterms:modified>
  <cp:category/>
  <cp:contentStatus/>
</cp:coreProperties>
</file>