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Research\Radar Signal Domain Adaptation\Two_Layer\"/>
    </mc:Choice>
  </mc:AlternateContent>
  <xr:revisionPtr revIDLastSave="0" documentId="13_ncr:1_{C24D554E-2D56-45DD-9B19-949A6F478961}" xr6:coauthVersionLast="47" xr6:coauthVersionMax="47" xr10:uidLastSave="{00000000-0000-0000-0000-000000000000}"/>
  <bookViews>
    <workbookView xWindow="-120" yWindow="-120" windowWidth="22920" windowHeight="13680" activeTab="1" xr2:uid="{00000000-000D-0000-FFFF-FFFF00000000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5" i="1" l="1"/>
  <c r="J25" i="1"/>
  <c r="G142" i="1"/>
  <c r="E140" i="1"/>
  <c r="D140" i="1"/>
  <c r="C140" i="1"/>
  <c r="G115" i="1"/>
  <c r="E113" i="1"/>
  <c r="D113" i="1"/>
  <c r="C113" i="1"/>
  <c r="G88" i="1"/>
  <c r="E86" i="1"/>
  <c r="D86" i="1"/>
  <c r="C86" i="1"/>
  <c r="T25" i="1"/>
  <c r="L25" i="1"/>
  <c r="M25" i="1"/>
  <c r="N25" i="1"/>
  <c r="O25" i="1"/>
  <c r="P25" i="1"/>
  <c r="Q25" i="1"/>
  <c r="R25" i="1"/>
  <c r="U25" i="1"/>
  <c r="V25" i="1"/>
  <c r="K25" i="1"/>
  <c r="I25" i="1"/>
  <c r="H25" i="1"/>
  <c r="G25" i="1"/>
  <c r="F25" i="1"/>
  <c r="E25" i="1"/>
  <c r="D25" i="1"/>
  <c r="C25" i="1"/>
  <c r="G61" i="1"/>
  <c r="E59" i="1"/>
  <c r="D59" i="1"/>
  <c r="C59" i="1"/>
  <c r="G34" i="1"/>
  <c r="E32" i="1"/>
  <c r="D32" i="1"/>
  <c r="C32" i="1"/>
  <c r="D7" i="1"/>
  <c r="E7" i="1"/>
  <c r="F7" i="1"/>
  <c r="G7" i="1"/>
  <c r="H7" i="1"/>
  <c r="I7" i="1"/>
  <c r="J7" i="1"/>
  <c r="K7" i="1"/>
  <c r="C7" i="1"/>
  <c r="C2" i="1"/>
  <c r="D2" i="1"/>
  <c r="E2" i="1"/>
  <c r="G113" i="1" l="1"/>
  <c r="G140" i="1"/>
  <c r="G86" i="1"/>
  <c r="X25" i="1"/>
  <c r="G32" i="1"/>
  <c r="G2" i="1"/>
  <c r="M7" i="1"/>
  <c r="G59" i="1"/>
</calcChain>
</file>

<file path=xl/sharedStrings.xml><?xml version="1.0" encoding="utf-8"?>
<sst xmlns="http://schemas.openxmlformats.org/spreadsheetml/2006/main" count="225" uniqueCount="39">
  <si>
    <t>p1</t>
  </si>
  <si>
    <t>p1 (RAW)</t>
  </si>
  <si>
    <t>c1</t>
  </si>
  <si>
    <t>d1</t>
  </si>
  <si>
    <t>p2 (RAW)</t>
  </si>
  <si>
    <t>c2</t>
  </si>
  <si>
    <t>d2</t>
  </si>
  <si>
    <t>File number: 284-3</t>
  </si>
  <si>
    <t>File number: 285-1</t>
  </si>
  <si>
    <t>p2</t>
  </si>
  <si>
    <t>File number: 286-3</t>
  </si>
  <si>
    <t>c1 (all)</t>
  </si>
  <si>
    <t>p1 (real)</t>
  </si>
  <si>
    <t>p2 (real)</t>
  </si>
  <si>
    <t>File number: 286-5</t>
  </si>
  <si>
    <t>File number: 287-3</t>
  </si>
  <si>
    <t>File number: 287-5</t>
  </si>
  <si>
    <t>File number: 285-3</t>
  </si>
  <si>
    <t>soil wetness level 1</t>
  </si>
  <si>
    <t>soil wetness level 2</t>
  </si>
  <si>
    <t>straw wetness level 1</t>
  </si>
  <si>
    <t>straw depth level 1</t>
  </si>
  <si>
    <t>straw depth level 2</t>
  </si>
  <si>
    <t>straw wetness level 2</t>
  </si>
  <si>
    <t>File number: 286-7</t>
  </si>
  <si>
    <t>soil wetness level 3</t>
  </si>
  <si>
    <t>File number: 287-7</t>
  </si>
  <si>
    <t>File number: 288-3</t>
  </si>
  <si>
    <t>soil wetness level 4</t>
  </si>
  <si>
    <t>File number: 288-5</t>
  </si>
  <si>
    <t>File number: 288-7</t>
  </si>
  <si>
    <t>soil wetness level 5</t>
  </si>
  <si>
    <t>File number: 289-3</t>
  </si>
  <si>
    <t>File number: 289-5</t>
  </si>
  <si>
    <t>File number: 289-7</t>
  </si>
  <si>
    <t>File number: 290-3</t>
  </si>
  <si>
    <t>soil wetness level 6</t>
  </si>
  <si>
    <t>File number: 290-5</t>
  </si>
  <si>
    <t>File number: 290-7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</si>
</sst>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3"/>
  <sheetViews>
    <sheetView topLeftCell="A12" zoomScale="66" zoomScaleNormal="66" workbookViewId="0">
      <selection activeCell="X25" sqref="B24:X25"/>
    </sheetView>
  </sheetViews>
  <sheetFormatPr defaultRowHeight="15" x14ac:dyDescent="0.25"/>
  <cols>
    <col min="1" max="1" width="53.140625" style="1" customWidth="1"/>
    <col min="2" max="2" width="15.140625" style="1" customWidth="1"/>
    <col min="3" max="3" width="13.28515625" style="1" customWidth="1"/>
    <col min="4" max="16384" width="9.140625" style="1"/>
  </cols>
  <sheetData>
    <row r="1" spans="1:13" x14ac:dyDescent="0.25">
      <c r="A1" s="2" t="s">
        <v>7</v>
      </c>
      <c r="B1" s="1" t="s">
        <v>1</v>
      </c>
      <c r="C1" s="1">
        <v>1983</v>
      </c>
      <c r="D1" s="1">
        <v>1985</v>
      </c>
      <c r="E1" s="1">
        <v>1978</v>
      </c>
    </row>
    <row r="2" spans="1:13" x14ac:dyDescent="0.25">
      <c r="A2" s="1" t="s">
        <v>18</v>
      </c>
      <c r="B2" s="1" t="s">
        <v>12</v>
      </c>
      <c r="C2" s="1">
        <f>(2.887*10^(-9)*C1^3-2.08*10^(-5)*C1^2+5.276*10^(-2)*C1-43.39)^2</f>
        <v>3.8162117681388814</v>
      </c>
      <c r="D2" s="1">
        <f t="shared" ref="D2:E2" si="0">(2.887*10^(-9)*D1^3-2.08*10^(-5)*D1^2+5.276*10^(-2)*D1-43.39)^2</f>
        <v>3.8500236216326424</v>
      </c>
      <c r="E2" s="1">
        <f t="shared" si="0"/>
        <v>3.731843154355007</v>
      </c>
      <c r="G2" s="1">
        <f>AVERAGE(C2:E2)</f>
        <v>3.7993595147088435</v>
      </c>
    </row>
    <row r="3" spans="1:13" x14ac:dyDescent="0.25">
      <c r="A3" s="1" t="s">
        <v>20</v>
      </c>
      <c r="B3" s="2" t="s">
        <v>0</v>
      </c>
      <c r="C3" s="2">
        <v>3.8</v>
      </c>
    </row>
    <row r="4" spans="1:13" x14ac:dyDescent="0.25">
      <c r="A4" s="1" t="s">
        <v>21</v>
      </c>
      <c r="B4" s="2" t="s">
        <v>2</v>
      </c>
      <c r="C4" s="2">
        <v>0</v>
      </c>
    </row>
    <row r="5" spans="1:13" x14ac:dyDescent="0.25">
      <c r="B5" s="2" t="s">
        <v>3</v>
      </c>
      <c r="C5" s="2">
        <v>15</v>
      </c>
    </row>
    <row r="6" spans="1:13" x14ac:dyDescent="0.25">
      <c r="B6" s="1" t="s">
        <v>4</v>
      </c>
      <c r="C6" s="1">
        <v>1841</v>
      </c>
      <c r="D6" s="1">
        <v>1861</v>
      </c>
      <c r="E6" s="1">
        <v>1840</v>
      </c>
      <c r="F6" s="1">
        <v>1829</v>
      </c>
      <c r="G6" s="1">
        <v>1836</v>
      </c>
      <c r="H6" s="1">
        <v>1835</v>
      </c>
      <c r="I6" s="1">
        <v>1844</v>
      </c>
      <c r="J6" s="1">
        <v>1842</v>
      </c>
      <c r="K6" s="1">
        <v>1843</v>
      </c>
    </row>
    <row r="7" spans="1:13" x14ac:dyDescent="0.25">
      <c r="B7" s="1" t="s">
        <v>13</v>
      </c>
      <c r="C7" s="1">
        <f>(2.887*10^(-9)*C6^3-2.08*10^(-5)*C6^2+5.276*10^(-2)*C6-43.39)^2</f>
        <v>1.5826441827327713</v>
      </c>
      <c r="D7" s="1">
        <f t="shared" ref="D7:K7" si="1">(2.887*10^(-9)*D6^3-2.08*10^(-5)*D6^2+5.276*10^(-2)*D6-43.39)^2</f>
        <v>1.8678475147282685</v>
      </c>
      <c r="E7" s="1">
        <f t="shared" si="1"/>
        <v>1.5687513602438272</v>
      </c>
      <c r="F7" s="1">
        <f t="shared" si="1"/>
        <v>1.4184338197443662</v>
      </c>
      <c r="G7" s="1">
        <f t="shared" si="1"/>
        <v>1.513552749406065</v>
      </c>
      <c r="H7" s="1">
        <f t="shared" si="1"/>
        <v>1.4998476792449884</v>
      </c>
      <c r="I7" s="1">
        <f t="shared" si="1"/>
        <v>1.624541784977245</v>
      </c>
      <c r="J7" s="1">
        <f t="shared" si="1"/>
        <v>1.5965737127135824</v>
      </c>
      <c r="K7" s="1">
        <f t="shared" si="1"/>
        <v>1.6105396723107692</v>
      </c>
      <c r="M7" s="1">
        <f>AVERAGE(C7:K7)</f>
        <v>1.5869702751224315</v>
      </c>
    </row>
    <row r="8" spans="1:13" x14ac:dyDescent="0.25">
      <c r="B8" s="2" t="s">
        <v>9</v>
      </c>
      <c r="C8" s="2">
        <v>1.6</v>
      </c>
    </row>
    <row r="9" spans="1:13" x14ac:dyDescent="0.25">
      <c r="B9" s="2" t="s">
        <v>5</v>
      </c>
      <c r="C9" s="2">
        <v>0</v>
      </c>
    </row>
    <row r="10" spans="1:13" x14ac:dyDescent="0.25">
      <c r="B10" s="2" t="s">
        <v>6</v>
      </c>
      <c r="C10" s="2">
        <v>10</v>
      </c>
    </row>
    <row r="13" spans="1:13" x14ac:dyDescent="0.25">
      <c r="A13" s="2" t="s">
        <v>8</v>
      </c>
      <c r="B13" s="2" t="s">
        <v>0</v>
      </c>
      <c r="C13" s="2">
        <v>3.8</v>
      </c>
    </row>
    <row r="14" spans="1:13" x14ac:dyDescent="0.25">
      <c r="A14" s="1" t="s">
        <v>18</v>
      </c>
      <c r="B14" s="2" t="s">
        <v>2</v>
      </c>
      <c r="C14" s="2">
        <v>0</v>
      </c>
    </row>
    <row r="15" spans="1:13" x14ac:dyDescent="0.25">
      <c r="A15" s="1" t="s">
        <v>20</v>
      </c>
      <c r="B15" s="2" t="s">
        <v>3</v>
      </c>
      <c r="C15" s="2">
        <v>15</v>
      </c>
    </row>
    <row r="16" spans="1:13" x14ac:dyDescent="0.25">
      <c r="A16" s="1" t="s">
        <v>22</v>
      </c>
      <c r="B16" s="2" t="s">
        <v>9</v>
      </c>
      <c r="C16" s="2">
        <v>1.6</v>
      </c>
    </row>
    <row r="17" spans="1:24" x14ac:dyDescent="0.25">
      <c r="B17" s="2" t="s">
        <v>5</v>
      </c>
      <c r="C17" s="2">
        <v>0</v>
      </c>
    </row>
    <row r="18" spans="1:24" x14ac:dyDescent="0.25">
      <c r="B18" s="2" t="s">
        <v>6</v>
      </c>
      <c r="C18" s="2">
        <v>15</v>
      </c>
    </row>
    <row r="21" spans="1:24" x14ac:dyDescent="0.25">
      <c r="A21" s="2" t="s">
        <v>17</v>
      </c>
      <c r="B21" s="2" t="s">
        <v>0</v>
      </c>
      <c r="C21" s="2">
        <v>3.8</v>
      </c>
    </row>
    <row r="22" spans="1:24" x14ac:dyDescent="0.25">
      <c r="A22" s="1" t="s">
        <v>18</v>
      </c>
      <c r="B22" s="2" t="s">
        <v>2</v>
      </c>
      <c r="C22" s="2">
        <v>0</v>
      </c>
    </row>
    <row r="23" spans="1:24" x14ac:dyDescent="0.25">
      <c r="A23" s="1" t="s">
        <v>23</v>
      </c>
      <c r="B23" s="2" t="s">
        <v>3</v>
      </c>
      <c r="C23" s="2">
        <v>15</v>
      </c>
    </row>
    <row r="24" spans="1:24" x14ac:dyDescent="0.25">
      <c r="A24" s="1" t="s">
        <v>21</v>
      </c>
      <c r="B24" s="1" t="s">
        <v>4</v>
      </c>
      <c r="C24" s="1">
        <v>1900</v>
      </c>
      <c r="D24" s="1">
        <v>1919</v>
      </c>
      <c r="E24" s="1">
        <v>1925</v>
      </c>
      <c r="F24" s="1">
        <v>1910</v>
      </c>
      <c r="G24" s="1">
        <v>1916</v>
      </c>
      <c r="H24" s="1">
        <v>1932</v>
      </c>
      <c r="I24" s="1">
        <v>1906</v>
      </c>
      <c r="J24" s="1">
        <v>1960</v>
      </c>
      <c r="K24" s="1">
        <v>1908</v>
      </c>
      <c r="L24" s="1">
        <v>1918</v>
      </c>
      <c r="M24" s="1">
        <v>1932</v>
      </c>
      <c r="N24" s="1">
        <v>1931</v>
      </c>
      <c r="O24" s="1">
        <v>1911</v>
      </c>
      <c r="P24" s="1">
        <v>1908</v>
      </c>
      <c r="Q24" s="1">
        <v>1919</v>
      </c>
      <c r="R24" s="1">
        <v>1904</v>
      </c>
      <c r="S24" s="1">
        <v>1981</v>
      </c>
      <c r="T24" s="1">
        <v>1908</v>
      </c>
      <c r="U24" s="1">
        <v>1924</v>
      </c>
      <c r="V24" s="1">
        <v>1928</v>
      </c>
    </row>
    <row r="25" spans="1:24" x14ac:dyDescent="0.25">
      <c r="B25" s="1" t="s">
        <v>13</v>
      </c>
      <c r="C25" s="1">
        <f>(2.887*10^(-9)*C24^3-2.08*10^(-5)*C24^2+5.276*10^(-2)*C24-43.39)^2</f>
        <v>2.4584138924889891</v>
      </c>
      <c r="D25" s="1">
        <f t="shared" ref="D25" si="2">(2.887*10^(-9)*D24^3-2.08*10^(-5)*D24^2+5.276*10^(-2)*D24-43.39)^2</f>
        <v>2.7593281986530722</v>
      </c>
      <c r="E25" s="1">
        <f t="shared" ref="E25" si="3">(2.887*10^(-9)*E24^3-2.08*10^(-5)*E24^2+5.276*10^(-2)*E24-43.39)^2</f>
        <v>2.8558238501129236</v>
      </c>
      <c r="F25" s="1">
        <f t="shared" ref="F25" si="4">(2.887*10^(-9)*F24^3-2.08*10^(-5)*F24^2+5.276*10^(-2)*F24-43.39)^2</f>
        <v>2.6158649402062317</v>
      </c>
      <c r="G25" s="1">
        <f t="shared" ref="G25" si="5">(2.887*10^(-9)*G24^3-2.08*10^(-5)*G24^2+5.276*10^(-2)*G24-43.39)^2</f>
        <v>2.7113313932181526</v>
      </c>
      <c r="H25" s="1">
        <f t="shared" ref="H25" si="6">(2.887*10^(-9)*H24^3-2.08*10^(-5)*H24^2+5.276*10^(-2)*H24-43.39)^2</f>
        <v>2.9692044388976644</v>
      </c>
      <c r="I25" s="1">
        <f t="shared" ref="I25" si="7">(2.887*10^(-9)*I24^3-2.08*10^(-5)*I24^2+5.276*10^(-2)*I24-43.39)^2</f>
        <v>2.5526277025231594</v>
      </c>
      <c r="J25" s="1">
        <f t="shared" ref="J25" si="8">(2.887*10^(-9)*J24^3-2.08*10^(-5)*J24^2+5.276*10^(-2)*J24-43.39)^2</f>
        <v>3.430238968305936</v>
      </c>
      <c r="K25" s="1">
        <f t="shared" ref="K25" si="9">(2.887*10^(-9)*K24^3-2.08*10^(-5)*K24^2+5.276*10^(-2)*K24-43.39)^2</f>
        <v>2.5842045785455188</v>
      </c>
      <c r="L25" s="1">
        <f t="shared" ref="L25" si="10">(2.887*10^(-9)*L24^3-2.08*10^(-5)*L24^2+5.276*10^(-2)*L24-43.39)^2</f>
        <v>2.7433102403818124</v>
      </c>
      <c r="M25" s="1">
        <f t="shared" ref="M25" si="11">(2.887*10^(-9)*M24^3-2.08*10^(-5)*M24^2+5.276*10^(-2)*M24-43.39)^2</f>
        <v>2.9692044388976644</v>
      </c>
      <c r="N25" s="1">
        <f t="shared" ref="N25" si="12">(2.887*10^(-9)*N24^3-2.08*10^(-5)*N24^2+5.276*10^(-2)*N24-43.39)^2</f>
        <v>2.9529564240250727</v>
      </c>
      <c r="O25" s="1">
        <f t="shared" ref="O25" si="13">(2.887*10^(-9)*O24^3-2.08*10^(-5)*O24^2+5.276*10^(-2)*O24-43.39)^2</f>
        <v>2.6317259388650669</v>
      </c>
      <c r="P25" s="1">
        <f t="shared" ref="P25" si="14">(2.887*10^(-9)*P24^3-2.08*10^(-5)*P24^2+5.276*10^(-2)*P24-43.39)^2</f>
        <v>2.5842045785455188</v>
      </c>
      <c r="Q25" s="1">
        <f t="shared" ref="Q25" si="15">(2.887*10^(-9)*Q24^3-2.08*10^(-5)*Q24^2+5.276*10^(-2)*Q24-43.39)^2</f>
        <v>2.7593281986530722</v>
      </c>
      <c r="R25" s="1">
        <f t="shared" ref="R25" si="16">(2.887*10^(-9)*R24^3-2.08*10^(-5)*R24^2+5.276*10^(-2)*R24-43.39)^2</f>
        <v>2.5211358935424544</v>
      </c>
      <c r="S25" s="1">
        <f t="shared" ref="S25" si="17">(2.887*10^(-9)*S24^3-2.08*10^(-5)*S24^2+5.276*10^(-2)*S24-43.39)^2</f>
        <v>3.7824362327704617</v>
      </c>
      <c r="T25" s="1">
        <f t="shared" ref="T25" si="18">(2.887*10^(-9)*T24^3-2.08*10^(-5)*T24^2+5.276*10^(-2)*T24-43.39)^2</f>
        <v>2.5842045785455188</v>
      </c>
      <c r="U25" s="1">
        <f t="shared" ref="U25" si="19">(2.887*10^(-9)*U24^3-2.08*10^(-5)*U24^2+5.276*10^(-2)*U24-43.39)^2</f>
        <v>2.839695971260126</v>
      </c>
      <c r="V25" s="1">
        <f t="shared" ref="V25" si="20">(2.887*10^(-9)*V24^3-2.08*10^(-5)*V24^2+5.276*10^(-2)*V24-43.39)^2</f>
        <v>2.9043129131423053</v>
      </c>
      <c r="X25" s="1">
        <f>AVERAGE(C25:V25)</f>
        <v>2.8104776685790367</v>
      </c>
    </row>
    <row r="26" spans="1:24" x14ac:dyDescent="0.25">
      <c r="B26" s="2" t="s">
        <v>9</v>
      </c>
      <c r="C26" s="2">
        <v>2.8</v>
      </c>
    </row>
    <row r="27" spans="1:24" x14ac:dyDescent="0.25">
      <c r="B27" s="2" t="s">
        <v>5</v>
      </c>
      <c r="C27" s="2">
        <v>0</v>
      </c>
    </row>
    <row r="28" spans="1:24" x14ac:dyDescent="0.25">
      <c r="B28" s="2" t="s">
        <v>6</v>
      </c>
      <c r="C28" s="2">
        <v>10</v>
      </c>
    </row>
    <row r="31" spans="1:24" x14ac:dyDescent="0.25">
      <c r="A31" s="2" t="s">
        <v>10</v>
      </c>
      <c r="B31" s="1" t="s">
        <v>1</v>
      </c>
      <c r="C31" s="1">
        <v>2063</v>
      </c>
      <c r="D31" s="1">
        <v>2040</v>
      </c>
      <c r="E31" s="1">
        <v>2037</v>
      </c>
    </row>
    <row r="32" spans="1:24" x14ac:dyDescent="0.25">
      <c r="A32" s="1" t="s">
        <v>19</v>
      </c>
      <c r="B32" s="1" t="s">
        <v>12</v>
      </c>
      <c r="C32" s="1">
        <f>(2.887*10^(-9)*C31^3-2.08*10^(-5)*C31^2+5.276*10^(-2)*C31-43.39)^2</f>
        <v>5.188234823043425</v>
      </c>
      <c r="D32" s="1">
        <f t="shared" ref="D32" si="21">(2.887*10^(-9)*D31^3-2.08*10^(-5)*D31^2+5.276*10^(-2)*D31-43.39)^2</f>
        <v>4.7907577483181374</v>
      </c>
      <c r="E32" s="1">
        <f t="shared" ref="E32" si="22">(2.887*10^(-9)*E31^3-2.08*10^(-5)*E31^2+5.276*10^(-2)*E31-43.39)^2</f>
        <v>4.7390366473893835</v>
      </c>
      <c r="G32" s="1">
        <f>AVERAGE(C32:E32)</f>
        <v>4.9060097395836486</v>
      </c>
    </row>
    <row r="33" spans="1:7" x14ac:dyDescent="0.25">
      <c r="A33" s="1" t="s">
        <v>20</v>
      </c>
      <c r="B33" s="2" t="s">
        <v>0</v>
      </c>
      <c r="C33" s="2">
        <v>4.9000000000000004</v>
      </c>
    </row>
    <row r="34" spans="1:7" x14ac:dyDescent="0.25">
      <c r="A34" s="1" t="s">
        <v>21</v>
      </c>
      <c r="B34" s="1" t="s">
        <v>11</v>
      </c>
      <c r="C34" s="1">
        <v>3.0000000000000001E-3</v>
      </c>
      <c r="D34" s="1">
        <v>3.0000000000000001E-3</v>
      </c>
      <c r="E34" s="1">
        <v>2E-3</v>
      </c>
      <c r="G34" s="1">
        <f>AVERAGE(C34:E34)</f>
        <v>2.6666666666666666E-3</v>
      </c>
    </row>
    <row r="35" spans="1:7" x14ac:dyDescent="0.25">
      <c r="B35" s="2" t="s">
        <v>2</v>
      </c>
      <c r="C35" s="2">
        <v>2.7000000000000001E-3</v>
      </c>
    </row>
    <row r="36" spans="1:7" x14ac:dyDescent="0.25">
      <c r="B36" s="2" t="s">
        <v>3</v>
      </c>
      <c r="C36" s="2">
        <v>15</v>
      </c>
    </row>
    <row r="37" spans="1:7" x14ac:dyDescent="0.25">
      <c r="B37" s="2" t="s">
        <v>9</v>
      </c>
      <c r="C37" s="2">
        <v>1.6</v>
      </c>
    </row>
    <row r="38" spans="1:7" x14ac:dyDescent="0.25">
      <c r="B38" s="2" t="s">
        <v>5</v>
      </c>
      <c r="C38" s="2">
        <v>0</v>
      </c>
    </row>
    <row r="39" spans="1:7" x14ac:dyDescent="0.25">
      <c r="B39" s="2" t="s">
        <v>6</v>
      </c>
      <c r="C39" s="2">
        <v>10</v>
      </c>
    </row>
    <row r="42" spans="1:7" x14ac:dyDescent="0.25">
      <c r="A42" s="2" t="s">
        <v>14</v>
      </c>
      <c r="B42" s="2" t="s">
        <v>0</v>
      </c>
      <c r="C42" s="2">
        <v>4.9000000000000004</v>
      </c>
    </row>
    <row r="43" spans="1:7" x14ac:dyDescent="0.25">
      <c r="A43" s="1" t="s">
        <v>19</v>
      </c>
      <c r="B43" s="2" t="s">
        <v>2</v>
      </c>
      <c r="C43" s="2">
        <v>2.7000000000000001E-3</v>
      </c>
    </row>
    <row r="44" spans="1:7" x14ac:dyDescent="0.25">
      <c r="A44" s="1" t="s">
        <v>20</v>
      </c>
      <c r="B44" s="2" t="s">
        <v>3</v>
      </c>
      <c r="C44" s="2">
        <v>15</v>
      </c>
    </row>
    <row r="45" spans="1:7" x14ac:dyDescent="0.25">
      <c r="A45" s="1" t="s">
        <v>22</v>
      </c>
      <c r="B45" s="2" t="s">
        <v>9</v>
      </c>
      <c r="C45" s="2">
        <v>1.6</v>
      </c>
    </row>
    <row r="46" spans="1:7" x14ac:dyDescent="0.25">
      <c r="B46" s="2" t="s">
        <v>5</v>
      </c>
      <c r="C46" s="2">
        <v>0</v>
      </c>
    </row>
    <row r="47" spans="1:7" x14ac:dyDescent="0.25">
      <c r="B47" s="2" t="s">
        <v>6</v>
      </c>
      <c r="C47" s="2">
        <v>15</v>
      </c>
    </row>
    <row r="50" spans="1:7" x14ac:dyDescent="0.25">
      <c r="A50" s="2" t="s">
        <v>24</v>
      </c>
      <c r="B50" s="2" t="s">
        <v>0</v>
      </c>
      <c r="C50" s="2">
        <v>4.9000000000000004</v>
      </c>
    </row>
    <row r="51" spans="1:7" x14ac:dyDescent="0.25">
      <c r="A51" s="1" t="s">
        <v>19</v>
      </c>
      <c r="B51" s="2" t="s">
        <v>2</v>
      </c>
      <c r="C51" s="2">
        <v>2.7000000000000001E-3</v>
      </c>
    </row>
    <row r="52" spans="1:7" x14ac:dyDescent="0.25">
      <c r="A52" s="1" t="s">
        <v>23</v>
      </c>
      <c r="B52" s="2" t="s">
        <v>3</v>
      </c>
      <c r="C52" s="2">
        <v>15</v>
      </c>
    </row>
    <row r="53" spans="1:7" x14ac:dyDescent="0.25">
      <c r="A53" s="1" t="s">
        <v>21</v>
      </c>
      <c r="B53" s="2" t="s">
        <v>9</v>
      </c>
      <c r="C53" s="2">
        <v>2.8</v>
      </c>
    </row>
    <row r="54" spans="1:7" x14ac:dyDescent="0.25">
      <c r="B54" s="2" t="s">
        <v>5</v>
      </c>
      <c r="C54" s="2">
        <v>0</v>
      </c>
    </row>
    <row r="55" spans="1:7" x14ac:dyDescent="0.25">
      <c r="B55" s="2" t="s">
        <v>6</v>
      </c>
      <c r="C55" s="2">
        <v>10</v>
      </c>
    </row>
    <row r="58" spans="1:7" x14ac:dyDescent="0.25">
      <c r="A58" s="2" t="s">
        <v>15</v>
      </c>
      <c r="B58" s="1" t="s">
        <v>1</v>
      </c>
      <c r="C58" s="1">
        <v>2184</v>
      </c>
      <c r="D58" s="1">
        <v>2182</v>
      </c>
      <c r="E58" s="1">
        <v>2120</v>
      </c>
    </row>
    <row r="59" spans="1:7" x14ac:dyDescent="0.25">
      <c r="A59" s="1" t="s">
        <v>25</v>
      </c>
      <c r="B59" s="1" t="s">
        <v>12</v>
      </c>
      <c r="C59" s="1">
        <f>(2.887*10^(-9)*C58^3-2.08*10^(-5)*C58^2+5.276*10^(-2)*C58-43.39)^2</f>
        <v>7.2887548674308817</v>
      </c>
      <c r="D59" s="1">
        <f t="shared" ref="D59" si="23">(2.887*10^(-9)*D58^3-2.08*10^(-5)*D58^2+5.276*10^(-2)*D58-43.39)^2</f>
        <v>7.2540114268152971</v>
      </c>
      <c r="E59" s="1">
        <f t="shared" ref="E59" si="24">(2.887*10^(-9)*E58^3-2.08*10^(-5)*E58^2+5.276*10^(-2)*E58-43.39)^2</f>
        <v>6.1771412625580551</v>
      </c>
      <c r="G59" s="1">
        <f>AVERAGE(C59:E59)</f>
        <v>6.906635852268078</v>
      </c>
    </row>
    <row r="60" spans="1:7" x14ac:dyDescent="0.25">
      <c r="A60" s="1" t="s">
        <v>20</v>
      </c>
      <c r="B60" s="2" t="s">
        <v>0</v>
      </c>
      <c r="C60" s="2">
        <v>6.9</v>
      </c>
    </row>
    <row r="61" spans="1:7" x14ac:dyDescent="0.25">
      <c r="A61" s="1" t="s">
        <v>21</v>
      </c>
      <c r="B61" s="1" t="s">
        <v>11</v>
      </c>
      <c r="C61" s="1">
        <v>2.1000000000000001E-2</v>
      </c>
      <c r="D61" s="1">
        <v>2.8000000000000001E-2</v>
      </c>
      <c r="E61" s="1">
        <v>0.02</v>
      </c>
      <c r="G61" s="1">
        <f>AVERAGE(C61:E61)</f>
        <v>2.3000000000000003E-2</v>
      </c>
    </row>
    <row r="62" spans="1:7" x14ac:dyDescent="0.25">
      <c r="B62" s="2" t="s">
        <v>2</v>
      </c>
      <c r="C62" s="2">
        <v>2.3E-2</v>
      </c>
    </row>
    <row r="63" spans="1:7" x14ac:dyDescent="0.25">
      <c r="B63" s="2" t="s">
        <v>3</v>
      </c>
      <c r="C63" s="2">
        <v>15</v>
      </c>
    </row>
    <row r="64" spans="1:7" x14ac:dyDescent="0.25">
      <c r="B64" s="2" t="s">
        <v>9</v>
      </c>
      <c r="C64" s="2">
        <v>1.6</v>
      </c>
    </row>
    <row r="65" spans="1:3" x14ac:dyDescent="0.25">
      <c r="B65" s="2" t="s">
        <v>5</v>
      </c>
      <c r="C65" s="2">
        <v>0</v>
      </c>
    </row>
    <row r="66" spans="1:3" x14ac:dyDescent="0.25">
      <c r="B66" s="2" t="s">
        <v>6</v>
      </c>
      <c r="C66" s="2">
        <v>10</v>
      </c>
    </row>
    <row r="69" spans="1:3" x14ac:dyDescent="0.25">
      <c r="A69" s="2" t="s">
        <v>16</v>
      </c>
      <c r="B69" s="2" t="s">
        <v>0</v>
      </c>
      <c r="C69" s="2">
        <v>6.9</v>
      </c>
    </row>
    <row r="70" spans="1:3" x14ac:dyDescent="0.25">
      <c r="A70" s="1" t="s">
        <v>25</v>
      </c>
      <c r="B70" s="2" t="s">
        <v>2</v>
      </c>
      <c r="C70" s="2">
        <v>2.3E-2</v>
      </c>
    </row>
    <row r="71" spans="1:3" x14ac:dyDescent="0.25">
      <c r="A71" s="1" t="s">
        <v>20</v>
      </c>
      <c r="B71" s="2" t="s">
        <v>3</v>
      </c>
      <c r="C71" s="2">
        <v>15</v>
      </c>
    </row>
    <row r="72" spans="1:3" x14ac:dyDescent="0.25">
      <c r="A72" s="1" t="s">
        <v>22</v>
      </c>
      <c r="B72" s="2" t="s">
        <v>9</v>
      </c>
      <c r="C72" s="2">
        <v>1.6</v>
      </c>
    </row>
    <row r="73" spans="1:3" x14ac:dyDescent="0.25">
      <c r="B73" s="2" t="s">
        <v>5</v>
      </c>
      <c r="C73" s="2">
        <v>0</v>
      </c>
    </row>
    <row r="74" spans="1:3" x14ac:dyDescent="0.25">
      <c r="B74" s="2" t="s">
        <v>6</v>
      </c>
      <c r="C74" s="2">
        <v>15</v>
      </c>
    </row>
    <row r="77" spans="1:3" x14ac:dyDescent="0.25">
      <c r="A77" s="2" t="s">
        <v>26</v>
      </c>
      <c r="B77" s="2" t="s">
        <v>0</v>
      </c>
      <c r="C77" s="2">
        <v>6.9</v>
      </c>
    </row>
    <row r="78" spans="1:3" x14ac:dyDescent="0.25">
      <c r="A78" s="1" t="s">
        <v>25</v>
      </c>
      <c r="B78" s="2" t="s">
        <v>2</v>
      </c>
      <c r="C78" s="2">
        <v>2.3E-2</v>
      </c>
    </row>
    <row r="79" spans="1:3" x14ac:dyDescent="0.25">
      <c r="A79" s="1" t="s">
        <v>23</v>
      </c>
      <c r="B79" s="2" t="s">
        <v>3</v>
      </c>
      <c r="C79" s="2">
        <v>15</v>
      </c>
    </row>
    <row r="80" spans="1:3" x14ac:dyDescent="0.25">
      <c r="A80" s="1" t="s">
        <v>21</v>
      </c>
      <c r="B80" s="2" t="s">
        <v>9</v>
      </c>
      <c r="C80" s="2">
        <v>2.8</v>
      </c>
    </row>
    <row r="81" spans="1:7" x14ac:dyDescent="0.25">
      <c r="B81" s="2" t="s">
        <v>5</v>
      </c>
      <c r="C81" s="2">
        <v>0</v>
      </c>
    </row>
    <row r="82" spans="1:7" x14ac:dyDescent="0.25">
      <c r="B82" s="2" t="s">
        <v>6</v>
      </c>
      <c r="C82" s="2">
        <v>10</v>
      </c>
    </row>
    <row r="85" spans="1:7" x14ac:dyDescent="0.25">
      <c r="A85" s="2" t="s">
        <v>27</v>
      </c>
      <c r="B85" s="1" t="s">
        <v>1</v>
      </c>
      <c r="C85" s="1">
        <v>2229</v>
      </c>
      <c r="D85" s="1">
        <v>2193</v>
      </c>
      <c r="E85" s="1">
        <v>2201</v>
      </c>
    </row>
    <row r="86" spans="1:7" x14ac:dyDescent="0.25">
      <c r="A86" s="1" t="s">
        <v>28</v>
      </c>
      <c r="B86" s="1" t="s">
        <v>12</v>
      </c>
      <c r="C86" s="1">
        <f>(2.887*10^(-9)*C85^3-2.08*10^(-5)*C85^2+5.276*10^(-2)*C85-43.39)^2</f>
        <v>8.0712591427415088</v>
      </c>
      <c r="D86" s="1">
        <f t="shared" ref="D86" si="25">(2.887*10^(-9)*D85^3-2.08*10^(-5)*D85^2+5.276*10^(-2)*D85-43.39)^2</f>
        <v>7.4451203603882901</v>
      </c>
      <c r="E86" s="1">
        <f t="shared" ref="E86" si="26">(2.887*10^(-9)*E85^3-2.08*10^(-5)*E85^2+5.276*10^(-2)*E85-43.39)^2</f>
        <v>7.5841497063778576</v>
      </c>
      <c r="G86" s="1">
        <f>AVERAGE(C86:E86)</f>
        <v>7.7001764031692188</v>
      </c>
    </row>
    <row r="87" spans="1:7" x14ac:dyDescent="0.25">
      <c r="A87" s="1" t="s">
        <v>20</v>
      </c>
      <c r="B87" s="2" t="s">
        <v>0</v>
      </c>
      <c r="C87" s="2">
        <v>7.7</v>
      </c>
    </row>
    <row r="88" spans="1:7" x14ac:dyDescent="0.25">
      <c r="A88" s="1" t="s">
        <v>21</v>
      </c>
      <c r="B88" s="1" t="s">
        <v>11</v>
      </c>
      <c r="C88" s="1">
        <v>5.3999999999999999E-2</v>
      </c>
      <c r="D88" s="1">
        <v>4.4999999999999998E-2</v>
      </c>
      <c r="E88" s="1">
        <v>4.2999999999999997E-2</v>
      </c>
      <c r="G88" s="1">
        <f>AVERAGE(C88:E88)</f>
        <v>4.7333333333333338E-2</v>
      </c>
    </row>
    <row r="89" spans="1:7" x14ac:dyDescent="0.25">
      <c r="B89" s="2" t="s">
        <v>2</v>
      </c>
      <c r="C89" s="2">
        <v>4.7300000000000002E-2</v>
      </c>
    </row>
    <row r="90" spans="1:7" x14ac:dyDescent="0.25">
      <c r="B90" s="2" t="s">
        <v>3</v>
      </c>
      <c r="C90" s="2">
        <v>15</v>
      </c>
    </row>
    <row r="91" spans="1:7" x14ac:dyDescent="0.25">
      <c r="B91" s="2" t="s">
        <v>9</v>
      </c>
      <c r="C91" s="2">
        <v>1.6</v>
      </c>
    </row>
    <row r="92" spans="1:7" x14ac:dyDescent="0.25">
      <c r="B92" s="2" t="s">
        <v>5</v>
      </c>
      <c r="C92" s="2">
        <v>0</v>
      </c>
    </row>
    <row r="93" spans="1:7" x14ac:dyDescent="0.25">
      <c r="B93" s="2" t="s">
        <v>6</v>
      </c>
      <c r="C93" s="2">
        <v>10</v>
      </c>
    </row>
    <row r="96" spans="1:7" x14ac:dyDescent="0.25">
      <c r="A96" s="2" t="s">
        <v>29</v>
      </c>
      <c r="B96" s="2" t="s">
        <v>0</v>
      </c>
      <c r="C96" s="2">
        <v>7.7</v>
      </c>
    </row>
    <row r="97" spans="1:5" x14ac:dyDescent="0.25">
      <c r="A97" s="1" t="s">
        <v>28</v>
      </c>
      <c r="B97" s="2" t="s">
        <v>2</v>
      </c>
      <c r="C97" s="2">
        <v>4.7300000000000002E-2</v>
      </c>
    </row>
    <row r="98" spans="1:5" x14ac:dyDescent="0.25">
      <c r="A98" s="1" t="s">
        <v>20</v>
      </c>
      <c r="B98" s="2" t="s">
        <v>3</v>
      </c>
      <c r="C98" s="2">
        <v>15</v>
      </c>
    </row>
    <row r="99" spans="1:5" x14ac:dyDescent="0.25">
      <c r="A99" s="1" t="s">
        <v>22</v>
      </c>
      <c r="B99" s="2" t="s">
        <v>9</v>
      </c>
      <c r="C99" s="2">
        <v>1.6</v>
      </c>
    </row>
    <row r="100" spans="1:5" x14ac:dyDescent="0.25">
      <c r="B100" s="2" t="s">
        <v>5</v>
      </c>
      <c r="C100" s="2">
        <v>0</v>
      </c>
    </row>
    <row r="101" spans="1:5" x14ac:dyDescent="0.25">
      <c r="B101" s="2" t="s">
        <v>6</v>
      </c>
      <c r="C101" s="2">
        <v>15</v>
      </c>
    </row>
    <row r="104" spans="1:5" x14ac:dyDescent="0.25">
      <c r="A104" s="2" t="s">
        <v>30</v>
      </c>
      <c r="B104" s="2" t="s">
        <v>0</v>
      </c>
      <c r="C104" s="2">
        <v>7.7</v>
      </c>
    </row>
    <row r="105" spans="1:5" x14ac:dyDescent="0.25">
      <c r="A105" s="1" t="s">
        <v>28</v>
      </c>
      <c r="B105" s="2" t="s">
        <v>2</v>
      </c>
      <c r="C105" s="2">
        <v>4.7300000000000002E-2</v>
      </c>
    </row>
    <row r="106" spans="1:5" x14ac:dyDescent="0.25">
      <c r="A106" s="1" t="s">
        <v>23</v>
      </c>
      <c r="B106" s="2" t="s">
        <v>3</v>
      </c>
      <c r="C106" s="2">
        <v>15</v>
      </c>
    </row>
    <row r="107" spans="1:5" x14ac:dyDescent="0.25">
      <c r="A107" s="1" t="s">
        <v>21</v>
      </c>
      <c r="B107" s="2" t="s">
        <v>9</v>
      </c>
      <c r="C107" s="2">
        <v>2.8</v>
      </c>
    </row>
    <row r="108" spans="1:5" x14ac:dyDescent="0.25">
      <c r="B108" s="2" t="s">
        <v>5</v>
      </c>
      <c r="C108" s="2">
        <v>0</v>
      </c>
    </row>
    <row r="109" spans="1:5" x14ac:dyDescent="0.25">
      <c r="B109" s="2" t="s">
        <v>6</v>
      </c>
      <c r="C109" s="2">
        <v>10</v>
      </c>
    </row>
    <row r="112" spans="1:5" x14ac:dyDescent="0.25">
      <c r="A112" s="2" t="s">
        <v>32</v>
      </c>
      <c r="B112" s="1" t="s">
        <v>1</v>
      </c>
      <c r="C112" s="1">
        <v>2373</v>
      </c>
      <c r="D112" s="1">
        <v>2347</v>
      </c>
      <c r="E112" s="1">
        <v>2354</v>
      </c>
    </row>
    <row r="113" spans="1:7" x14ac:dyDescent="0.25">
      <c r="A113" s="1" t="s">
        <v>31</v>
      </c>
      <c r="B113" s="1" t="s">
        <v>12</v>
      </c>
      <c r="C113" s="1">
        <f>(2.887*10^(-9)*C112^3-2.08*10^(-5)*C112^2+5.276*10^(-2)*C112-43.39)^2</f>
        <v>10.627746966387198</v>
      </c>
      <c r="D113" s="1">
        <f t="shared" ref="D113" si="27">(2.887*10^(-9)*D112^3-2.08*10^(-5)*D112^2+5.276*10^(-2)*D112-43.39)^2</f>
        <v>10.154610181401075</v>
      </c>
      <c r="E113" s="1">
        <f t="shared" ref="E113" si="28">(2.887*10^(-9)*E112^3-2.08*10^(-5)*E112^2+5.276*10^(-2)*E112-43.39)^2</f>
        <v>10.281255250690661</v>
      </c>
      <c r="G113" s="1">
        <f>AVERAGE(C113:E113)</f>
        <v>10.354537466159647</v>
      </c>
    </row>
    <row r="114" spans="1:7" x14ac:dyDescent="0.25">
      <c r="A114" s="1" t="s">
        <v>20</v>
      </c>
      <c r="B114" s="2" t="s">
        <v>0</v>
      </c>
      <c r="C114" s="2">
        <v>10.4</v>
      </c>
    </row>
    <row r="115" spans="1:7" x14ac:dyDescent="0.25">
      <c r="A115" s="1" t="s">
        <v>21</v>
      </c>
      <c r="B115" s="1" t="s">
        <v>11</v>
      </c>
      <c r="C115" s="1">
        <v>8.1000000000000003E-2</v>
      </c>
      <c r="D115" s="1">
        <v>7.0000000000000007E-2</v>
      </c>
      <c r="E115" s="1">
        <v>7.3999999999999996E-2</v>
      </c>
      <c r="G115" s="1">
        <f>AVERAGE(C115:E115)</f>
        <v>7.5000000000000011E-2</v>
      </c>
    </row>
    <row r="116" spans="1:7" x14ac:dyDescent="0.25">
      <c r="B116" s="2" t="s">
        <v>2</v>
      </c>
      <c r="C116" s="2">
        <v>7.4999999999999997E-2</v>
      </c>
    </row>
    <row r="117" spans="1:7" x14ac:dyDescent="0.25">
      <c r="B117" s="2" t="s">
        <v>3</v>
      </c>
      <c r="C117" s="2">
        <v>15</v>
      </c>
    </row>
    <row r="118" spans="1:7" x14ac:dyDescent="0.25">
      <c r="B118" s="2" t="s">
        <v>9</v>
      </c>
      <c r="C118" s="2">
        <v>1.6</v>
      </c>
    </row>
    <row r="119" spans="1:7" x14ac:dyDescent="0.25">
      <c r="B119" s="2" t="s">
        <v>5</v>
      </c>
      <c r="C119" s="2">
        <v>0</v>
      </c>
    </row>
    <row r="120" spans="1:7" x14ac:dyDescent="0.25">
      <c r="B120" s="2" t="s">
        <v>6</v>
      </c>
      <c r="C120" s="2">
        <v>10</v>
      </c>
    </row>
    <row r="123" spans="1:7" x14ac:dyDescent="0.25">
      <c r="A123" s="2" t="s">
        <v>33</v>
      </c>
      <c r="B123" s="2" t="s">
        <v>0</v>
      </c>
      <c r="C123" s="2">
        <v>10.4</v>
      </c>
    </row>
    <row r="124" spans="1:7" x14ac:dyDescent="0.25">
      <c r="A124" s="1" t="s">
        <v>31</v>
      </c>
      <c r="B124" s="2" t="s">
        <v>2</v>
      </c>
      <c r="C124" s="2">
        <v>7.4999999999999997E-2</v>
      </c>
    </row>
    <row r="125" spans="1:7" x14ac:dyDescent="0.25">
      <c r="A125" s="1" t="s">
        <v>20</v>
      </c>
      <c r="B125" s="2" t="s">
        <v>3</v>
      </c>
      <c r="C125" s="2">
        <v>15</v>
      </c>
    </row>
    <row r="126" spans="1:7" x14ac:dyDescent="0.25">
      <c r="A126" s="1" t="s">
        <v>22</v>
      </c>
      <c r="B126" s="2" t="s">
        <v>9</v>
      </c>
      <c r="C126" s="2">
        <v>1.6</v>
      </c>
    </row>
    <row r="127" spans="1:7" x14ac:dyDescent="0.25">
      <c r="B127" s="2" t="s">
        <v>5</v>
      </c>
      <c r="C127" s="2">
        <v>0</v>
      </c>
    </row>
    <row r="128" spans="1:7" x14ac:dyDescent="0.25">
      <c r="B128" s="2" t="s">
        <v>6</v>
      </c>
      <c r="C128" s="2">
        <v>15</v>
      </c>
    </row>
    <row r="131" spans="1:7" x14ac:dyDescent="0.25">
      <c r="A131" s="2" t="s">
        <v>34</v>
      </c>
      <c r="B131" s="2" t="s">
        <v>0</v>
      </c>
      <c r="C131" s="2">
        <v>10.4</v>
      </c>
    </row>
    <row r="132" spans="1:7" x14ac:dyDescent="0.25">
      <c r="A132" s="1" t="s">
        <v>31</v>
      </c>
      <c r="B132" s="2" t="s">
        <v>2</v>
      </c>
      <c r="C132" s="2">
        <v>7.4999999999999997E-2</v>
      </c>
    </row>
    <row r="133" spans="1:7" x14ac:dyDescent="0.25">
      <c r="A133" s="1" t="s">
        <v>23</v>
      </c>
      <c r="B133" s="2" t="s">
        <v>3</v>
      </c>
      <c r="C133" s="2">
        <v>15</v>
      </c>
    </row>
    <row r="134" spans="1:7" x14ac:dyDescent="0.25">
      <c r="A134" s="1" t="s">
        <v>21</v>
      </c>
      <c r="B134" s="2" t="s">
        <v>9</v>
      </c>
      <c r="C134" s="2">
        <v>2.8</v>
      </c>
    </row>
    <row r="135" spans="1:7" x14ac:dyDescent="0.25">
      <c r="B135" s="2" t="s">
        <v>5</v>
      </c>
      <c r="C135" s="2">
        <v>0</v>
      </c>
    </row>
    <row r="136" spans="1:7" x14ac:dyDescent="0.25">
      <c r="B136" s="2" t="s">
        <v>6</v>
      </c>
      <c r="C136" s="2">
        <v>10</v>
      </c>
    </row>
    <row r="139" spans="1:7" x14ac:dyDescent="0.25">
      <c r="A139" s="2" t="s">
        <v>35</v>
      </c>
      <c r="B139" s="1" t="s">
        <v>1</v>
      </c>
      <c r="C139" s="1">
        <v>2475</v>
      </c>
      <c r="D139" s="1">
        <v>2461</v>
      </c>
      <c r="E139" s="1">
        <v>2531</v>
      </c>
    </row>
    <row r="140" spans="1:7" x14ac:dyDescent="0.25">
      <c r="A140" s="1" t="s">
        <v>36</v>
      </c>
      <c r="B140" s="1" t="s">
        <v>12</v>
      </c>
      <c r="C140" s="1">
        <f>(2.887*10^(-9)*C139^3-2.08*10^(-5)*C139^2+5.276*10^(-2)*C139-43.39)^2</f>
        <v>12.585334166556523</v>
      </c>
      <c r="D140" s="1">
        <f t="shared" ref="D140" si="29">(2.887*10^(-9)*D139^3-2.08*10^(-5)*D139^2+5.276*10^(-2)*D139-43.39)^2</f>
        <v>12.304251472951302</v>
      </c>
      <c r="E140" s="1">
        <f t="shared" ref="E140" si="30">(2.887*10^(-9)*E139^3-2.08*10^(-5)*E139^2+5.276*10^(-2)*E139-43.39)^2</f>
        <v>13.763424855927468</v>
      </c>
      <c r="G140" s="1">
        <f>AVERAGE(C140:E140)</f>
        <v>12.884336831811765</v>
      </c>
    </row>
    <row r="141" spans="1:7" x14ac:dyDescent="0.25">
      <c r="A141" s="1" t="s">
        <v>20</v>
      </c>
      <c r="B141" s="2" t="s">
        <v>0</v>
      </c>
      <c r="C141" s="2">
        <v>12.9</v>
      </c>
    </row>
    <row r="142" spans="1:7" x14ac:dyDescent="0.25">
      <c r="A142" s="1" t="s">
        <v>21</v>
      </c>
      <c r="B142" s="1" t="s">
        <v>11</v>
      </c>
      <c r="C142" s="1">
        <v>0.10299999999999999</v>
      </c>
      <c r="D142" s="1">
        <v>0.10299999999999999</v>
      </c>
      <c r="E142" s="1">
        <v>0.112</v>
      </c>
      <c r="G142" s="1">
        <f>AVERAGE(C142:E142)</f>
        <v>0.106</v>
      </c>
    </row>
    <row r="143" spans="1:7" x14ac:dyDescent="0.25">
      <c r="B143" s="2" t="s">
        <v>2</v>
      </c>
      <c r="C143" s="2">
        <v>0.106</v>
      </c>
    </row>
    <row r="144" spans="1:7" x14ac:dyDescent="0.25">
      <c r="B144" s="2" t="s">
        <v>3</v>
      </c>
      <c r="C144" s="2">
        <v>15</v>
      </c>
    </row>
    <row r="145" spans="1:3" x14ac:dyDescent="0.25">
      <c r="B145" s="2" t="s">
        <v>9</v>
      </c>
      <c r="C145" s="2">
        <v>1.6</v>
      </c>
    </row>
    <row r="146" spans="1:3" x14ac:dyDescent="0.25">
      <c r="B146" s="2" t="s">
        <v>5</v>
      </c>
      <c r="C146" s="2">
        <v>0</v>
      </c>
    </row>
    <row r="147" spans="1:3" x14ac:dyDescent="0.25">
      <c r="B147" s="2" t="s">
        <v>6</v>
      </c>
      <c r="C147" s="2">
        <v>10</v>
      </c>
    </row>
    <row r="150" spans="1:3" x14ac:dyDescent="0.25">
      <c r="A150" s="2" t="s">
        <v>37</v>
      </c>
      <c r="B150" s="2" t="s">
        <v>0</v>
      </c>
      <c r="C150" s="2">
        <v>12.9</v>
      </c>
    </row>
    <row r="151" spans="1:3" x14ac:dyDescent="0.25">
      <c r="A151" s="1" t="s">
        <v>36</v>
      </c>
      <c r="B151" s="2" t="s">
        <v>2</v>
      </c>
      <c r="C151" s="2">
        <v>0.106</v>
      </c>
    </row>
    <row r="152" spans="1:3" x14ac:dyDescent="0.25">
      <c r="A152" s="1" t="s">
        <v>20</v>
      </c>
      <c r="B152" s="2" t="s">
        <v>3</v>
      </c>
      <c r="C152" s="2">
        <v>15</v>
      </c>
    </row>
    <row r="153" spans="1:3" x14ac:dyDescent="0.25">
      <c r="A153" s="1" t="s">
        <v>22</v>
      </c>
      <c r="B153" s="2" t="s">
        <v>9</v>
      </c>
      <c r="C153" s="2">
        <v>1.6</v>
      </c>
    </row>
    <row r="154" spans="1:3" x14ac:dyDescent="0.25">
      <c r="B154" s="2" t="s">
        <v>5</v>
      </c>
      <c r="C154" s="2">
        <v>0</v>
      </c>
    </row>
    <row r="155" spans="1:3" x14ac:dyDescent="0.25">
      <c r="B155" s="2" t="s">
        <v>6</v>
      </c>
      <c r="C155" s="2">
        <v>15</v>
      </c>
    </row>
    <row r="158" spans="1:3" x14ac:dyDescent="0.25">
      <c r="A158" s="2" t="s">
        <v>38</v>
      </c>
      <c r="B158" s="2" t="s">
        <v>0</v>
      </c>
      <c r="C158" s="2">
        <v>12.9</v>
      </c>
    </row>
    <row r="159" spans="1:3" x14ac:dyDescent="0.25">
      <c r="A159" s="1" t="s">
        <v>36</v>
      </c>
      <c r="B159" s="2" t="s">
        <v>2</v>
      </c>
      <c r="C159" s="2">
        <v>0.106</v>
      </c>
    </row>
    <row r="160" spans="1:3" x14ac:dyDescent="0.25">
      <c r="A160" s="1" t="s">
        <v>23</v>
      </c>
      <c r="B160" s="2" t="s">
        <v>3</v>
      </c>
      <c r="C160" s="2">
        <v>15</v>
      </c>
    </row>
    <row r="161" spans="1:3" x14ac:dyDescent="0.25">
      <c r="A161" s="1" t="s">
        <v>21</v>
      </c>
      <c r="B161" s="2" t="s">
        <v>9</v>
      </c>
      <c r="C161" s="2">
        <v>2.8</v>
      </c>
    </row>
    <row r="162" spans="1:3" x14ac:dyDescent="0.25">
      <c r="B162" s="2" t="s">
        <v>5</v>
      </c>
      <c r="C162" s="2">
        <v>0</v>
      </c>
    </row>
    <row r="163" spans="1:3" x14ac:dyDescent="0.25">
      <c r="B163" s="2" t="s">
        <v>6</v>
      </c>
      <c r="C163" s="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2512-8978-474C-A906-CC48FECADCBE}">
  <dimension ref="A1:G19"/>
  <sheetViews>
    <sheetView tabSelected="1" workbookViewId="0">
      <selection activeCell="I9" sqref="I9"/>
    </sheetView>
  </sheetViews>
  <sheetFormatPr defaultRowHeight="15" x14ac:dyDescent="0.25"/>
  <cols>
    <col min="1" max="1" width="22.5703125" customWidth="1"/>
  </cols>
  <sheetData>
    <row r="1" spans="1:7" x14ac:dyDescent="0.25">
      <c r="A1" s="1"/>
      <c r="B1" s="1" t="s">
        <v>0</v>
      </c>
      <c r="C1" s="1" t="s">
        <v>2</v>
      </c>
      <c r="D1" s="1" t="s">
        <v>3</v>
      </c>
      <c r="E1" s="1" t="s">
        <v>9</v>
      </c>
      <c r="F1" s="1" t="s">
        <v>5</v>
      </c>
      <c r="G1" s="1" t="s">
        <v>6</v>
      </c>
    </row>
    <row r="2" spans="1:7" x14ac:dyDescent="0.25">
      <c r="A2" s="1" t="s">
        <v>7</v>
      </c>
      <c r="B2" s="1">
        <v>3.8</v>
      </c>
      <c r="C2" s="1">
        <v>0</v>
      </c>
      <c r="D2" s="1">
        <v>0.15</v>
      </c>
      <c r="E2" s="1">
        <v>1.6</v>
      </c>
      <c r="F2" s="1">
        <v>0</v>
      </c>
      <c r="G2" s="1">
        <v>0.1</v>
      </c>
    </row>
    <row r="3" spans="1:7" x14ac:dyDescent="0.25">
      <c r="A3" s="1" t="s">
        <v>8</v>
      </c>
      <c r="B3" s="1">
        <v>3.8</v>
      </c>
      <c r="C3" s="1">
        <v>0</v>
      </c>
      <c r="D3" s="1">
        <v>0.15</v>
      </c>
      <c r="E3" s="1">
        <v>1.6</v>
      </c>
      <c r="F3" s="1">
        <v>0</v>
      </c>
      <c r="G3" s="1">
        <v>0.15</v>
      </c>
    </row>
    <row r="4" spans="1:7" x14ac:dyDescent="0.25">
      <c r="A4" s="1" t="s">
        <v>17</v>
      </c>
      <c r="B4" s="1">
        <v>3.8</v>
      </c>
      <c r="C4" s="1">
        <v>0</v>
      </c>
      <c r="D4" s="1">
        <v>0.15</v>
      </c>
      <c r="E4" s="1">
        <v>2.8</v>
      </c>
      <c r="F4" s="1">
        <v>0</v>
      </c>
      <c r="G4" s="1">
        <v>0.1</v>
      </c>
    </row>
    <row r="5" spans="1:7" x14ac:dyDescent="0.25">
      <c r="A5" s="1" t="s">
        <v>10</v>
      </c>
      <c r="B5" s="1">
        <v>4.9000000000000004</v>
      </c>
      <c r="C5" s="1">
        <v>2.7000000000000001E-3</v>
      </c>
      <c r="D5" s="1">
        <v>0.15</v>
      </c>
      <c r="E5" s="1">
        <v>1.6</v>
      </c>
      <c r="F5" s="1">
        <v>0</v>
      </c>
      <c r="G5" s="1">
        <v>0.1</v>
      </c>
    </row>
    <row r="6" spans="1:7" x14ac:dyDescent="0.25">
      <c r="A6" s="1" t="s">
        <v>14</v>
      </c>
      <c r="B6" s="1">
        <v>4.9000000000000004</v>
      </c>
      <c r="C6" s="1">
        <v>2.7000000000000001E-3</v>
      </c>
      <c r="D6" s="1">
        <v>0.15</v>
      </c>
      <c r="E6" s="1">
        <v>1.6</v>
      </c>
      <c r="F6" s="1">
        <v>0</v>
      </c>
      <c r="G6" s="1">
        <v>0.15</v>
      </c>
    </row>
    <row r="7" spans="1:7" x14ac:dyDescent="0.25">
      <c r="A7" s="1" t="s">
        <v>24</v>
      </c>
      <c r="B7" s="1">
        <v>4.9000000000000004</v>
      </c>
      <c r="C7" s="1">
        <v>2.7000000000000001E-3</v>
      </c>
      <c r="D7" s="1">
        <v>0.15</v>
      </c>
      <c r="E7" s="1">
        <v>2.8</v>
      </c>
      <c r="F7" s="1">
        <v>0</v>
      </c>
      <c r="G7" s="1">
        <v>0.1</v>
      </c>
    </row>
    <row r="8" spans="1:7" x14ac:dyDescent="0.25">
      <c r="A8" s="1" t="s">
        <v>15</v>
      </c>
      <c r="B8" s="1">
        <v>6.9</v>
      </c>
      <c r="C8" s="1">
        <v>2.3E-2</v>
      </c>
      <c r="D8" s="1">
        <v>0.15</v>
      </c>
      <c r="E8" s="1">
        <v>1.6</v>
      </c>
      <c r="F8" s="1">
        <v>0</v>
      </c>
      <c r="G8" s="1">
        <v>0.1</v>
      </c>
    </row>
    <row r="9" spans="1:7" x14ac:dyDescent="0.25">
      <c r="A9" s="1" t="s">
        <v>16</v>
      </c>
      <c r="B9" s="1">
        <v>6.9</v>
      </c>
      <c r="C9" s="1">
        <v>2.3E-2</v>
      </c>
      <c r="D9" s="1">
        <v>0.15</v>
      </c>
      <c r="E9" s="1">
        <v>1.6</v>
      </c>
      <c r="F9" s="1">
        <v>0</v>
      </c>
      <c r="G9" s="1">
        <v>0.15</v>
      </c>
    </row>
    <row r="10" spans="1:7" x14ac:dyDescent="0.25">
      <c r="A10" s="1" t="s">
        <v>26</v>
      </c>
      <c r="B10" s="1">
        <v>6.9</v>
      </c>
      <c r="C10" s="1">
        <v>2.3E-2</v>
      </c>
      <c r="D10" s="1">
        <v>0.15</v>
      </c>
      <c r="E10" s="1">
        <v>2.8</v>
      </c>
      <c r="F10" s="1">
        <v>0</v>
      </c>
      <c r="G10" s="1">
        <v>0.1</v>
      </c>
    </row>
    <row r="11" spans="1:7" x14ac:dyDescent="0.25">
      <c r="A11" s="1" t="s">
        <v>27</v>
      </c>
      <c r="B11" s="1">
        <v>7.7</v>
      </c>
      <c r="C11" s="1">
        <v>4.7300000000000002E-2</v>
      </c>
      <c r="D11" s="1">
        <v>0.15</v>
      </c>
      <c r="E11" s="1">
        <v>1.6</v>
      </c>
      <c r="F11" s="1">
        <v>0</v>
      </c>
      <c r="G11" s="1">
        <v>0.1</v>
      </c>
    </row>
    <row r="12" spans="1:7" x14ac:dyDescent="0.25">
      <c r="A12" s="1" t="s">
        <v>29</v>
      </c>
      <c r="B12" s="1">
        <v>7.7</v>
      </c>
      <c r="C12" s="1">
        <v>4.7300000000000002E-2</v>
      </c>
      <c r="D12" s="1">
        <v>0.15</v>
      </c>
      <c r="E12" s="1">
        <v>1.6</v>
      </c>
      <c r="F12" s="1">
        <v>0</v>
      </c>
      <c r="G12" s="1">
        <v>0.15</v>
      </c>
    </row>
    <row r="13" spans="1:7" x14ac:dyDescent="0.25">
      <c r="A13" s="1" t="s">
        <v>30</v>
      </c>
      <c r="B13" s="1">
        <v>7.7</v>
      </c>
      <c r="C13" s="1">
        <v>4.7300000000000002E-2</v>
      </c>
      <c r="D13" s="1">
        <v>0.15</v>
      </c>
      <c r="E13" s="1">
        <v>2.8</v>
      </c>
      <c r="F13" s="1">
        <v>0</v>
      </c>
      <c r="G13" s="1">
        <v>0.1</v>
      </c>
    </row>
    <row r="14" spans="1:7" x14ac:dyDescent="0.25">
      <c r="A14" s="1" t="s">
        <v>32</v>
      </c>
      <c r="B14" s="1">
        <v>10.4</v>
      </c>
      <c r="C14" s="1">
        <v>7.4999999999999997E-2</v>
      </c>
      <c r="D14" s="1">
        <v>0.15</v>
      </c>
      <c r="E14" s="1">
        <v>1.6</v>
      </c>
      <c r="F14" s="1">
        <v>0</v>
      </c>
      <c r="G14" s="1">
        <v>0.1</v>
      </c>
    </row>
    <row r="15" spans="1:7" x14ac:dyDescent="0.25">
      <c r="A15" s="1" t="s">
        <v>33</v>
      </c>
      <c r="B15" s="1">
        <v>10.4</v>
      </c>
      <c r="C15" s="1">
        <v>7.4999999999999997E-2</v>
      </c>
      <c r="D15" s="1">
        <v>0.15</v>
      </c>
      <c r="E15" s="1">
        <v>1.6</v>
      </c>
      <c r="F15" s="1">
        <v>0</v>
      </c>
      <c r="G15" s="1">
        <v>0.15</v>
      </c>
    </row>
    <row r="16" spans="1:7" x14ac:dyDescent="0.25">
      <c r="A16" s="1" t="s">
        <v>34</v>
      </c>
      <c r="B16" s="1">
        <v>10.4</v>
      </c>
      <c r="C16" s="1">
        <v>7.4999999999999997E-2</v>
      </c>
      <c r="D16" s="1">
        <v>0.15</v>
      </c>
      <c r="E16" s="1">
        <v>2.8</v>
      </c>
      <c r="F16" s="1">
        <v>0</v>
      </c>
      <c r="G16" s="1">
        <v>0.1</v>
      </c>
    </row>
    <row r="17" spans="1:7" x14ac:dyDescent="0.25">
      <c r="A17" s="1" t="s">
        <v>35</v>
      </c>
      <c r="B17" s="1">
        <v>12.9</v>
      </c>
      <c r="C17" s="1">
        <v>0.106</v>
      </c>
      <c r="D17" s="1">
        <v>0.15</v>
      </c>
      <c r="E17" s="1">
        <v>1.6</v>
      </c>
      <c r="F17" s="1">
        <v>0</v>
      </c>
      <c r="G17" s="1">
        <v>0.1</v>
      </c>
    </row>
    <row r="18" spans="1:7" x14ac:dyDescent="0.25">
      <c r="A18" s="1" t="s">
        <v>37</v>
      </c>
      <c r="B18" s="1">
        <v>12.9</v>
      </c>
      <c r="C18" s="1">
        <v>0.106</v>
      </c>
      <c r="D18" s="1">
        <v>0.15</v>
      </c>
      <c r="E18" s="1">
        <v>1.6</v>
      </c>
      <c r="F18" s="1">
        <v>0</v>
      </c>
      <c r="G18" s="1">
        <v>0.15</v>
      </c>
    </row>
    <row r="19" spans="1:7" x14ac:dyDescent="0.25">
      <c r="A19" s="1" t="s">
        <v>38</v>
      </c>
      <c r="B19" s="1">
        <v>12.9</v>
      </c>
      <c r="C19" s="1">
        <v>0.106</v>
      </c>
      <c r="D19" s="1">
        <v>0.15</v>
      </c>
      <c r="E19" s="1">
        <v>2.8</v>
      </c>
      <c r="F19" s="1">
        <v>0</v>
      </c>
      <c r="G19" s="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Zixin Wang</dc:creator>
  <cp:lastModifiedBy>Wang, Zixin</cp:lastModifiedBy>
  <dcterms:created xsi:type="dcterms:W3CDTF">2015-06-05T18:17:20Z</dcterms:created>
  <dcterms:modified xsi:type="dcterms:W3CDTF">2025-09-10T04:47:05Z</dcterms:modified>
</cp:coreProperties>
</file>